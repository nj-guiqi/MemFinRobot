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3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4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5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6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jian.15/projects/MemFinRobot/"/>
    </mc:Choice>
  </mc:AlternateContent>
  <xr:revisionPtr revIDLastSave="0" documentId="13_ncr:1_{4AFC98A1-4E7F-2946-A5CF-89DEA1FF420F}" xr6:coauthVersionLast="47" xr6:coauthVersionMax="47" xr10:uidLastSave="{00000000-0000-0000-0000-000000000000}"/>
  <bookViews>
    <workbookView xWindow="2440" yWindow="1080" windowWidth="24420" windowHeight="13340" activeTab="2" xr2:uid="{F5EBCCAC-B496-4ADB-94F1-BB7D7FC84F14}"/>
  </bookViews>
  <sheets>
    <sheet name="Sheet1" sheetId="1" r:id="rId1"/>
    <sheet name="表5.1" sheetId="7" r:id="rId2"/>
    <sheet name="Sheet7" sheetId="8" r:id="rId3"/>
    <sheet name="表5.2" sheetId="5" r:id="rId4"/>
    <sheet name="4.4" sheetId="2" r:id="rId5"/>
    <sheet name="5.2" sheetId="3" r:id="rId6"/>
    <sheet name="图5.5 5.6" sheetId="4" r:id="rId7"/>
    <sheet name="图5.7" sheetId="6" r:id="rId8"/>
  </sheets>
  <definedNames>
    <definedName name="_xlchart.v2.0" hidden="1">'表5.2'!$J$31</definedName>
    <definedName name="_xlchart.v2.1" hidden="1">'表5.2'!$J$32</definedName>
    <definedName name="_xlchart.v2.2" hidden="1">'表5.2'!$J$33</definedName>
    <definedName name="_xlchart.v2.3" hidden="1">'表5.2'!$K$30:$O$30</definedName>
    <definedName name="_xlchart.v2.4" hidden="1">'表5.2'!$K$31:$O$31</definedName>
    <definedName name="_xlchart.v2.5" hidden="1">'表5.2'!$K$32:$O$32</definedName>
    <definedName name="_xlchart.v2.6" hidden="1">'表5.2'!$K$33:$O$33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J12" i="1" l="1"/>
  <c r="AI12" i="1"/>
  <c r="AC6" i="1"/>
  <c r="AC19" i="1"/>
  <c r="C12" i="1"/>
  <c r="B12" i="1"/>
</calcChain>
</file>

<file path=xl/sharedStrings.xml><?xml version="1.0" encoding="utf-8"?>
<sst xmlns="http://schemas.openxmlformats.org/spreadsheetml/2006/main" count="162" uniqueCount="79">
  <si>
    <t>Conv</t>
    <phoneticPr fontId="2" type="noConversion"/>
  </si>
  <si>
    <t>best_win</t>
    <phoneticPr fontId="2" type="noConversion"/>
  </si>
  <si>
    <t>num</t>
    <phoneticPr fontId="2" type="noConversion"/>
  </si>
  <si>
    <t>Best Window</t>
    <phoneticPr fontId="2" type="noConversion"/>
  </si>
  <si>
    <t>Window</t>
  </si>
  <si>
    <t>Recall@5</t>
  </si>
  <si>
    <t>Dynamic window</t>
    <phoneticPr fontId="2" type="noConversion"/>
  </si>
  <si>
    <t>R@5</t>
    <phoneticPr fontId="2" type="noConversion"/>
  </si>
  <si>
    <t>Type of Issues</t>
    <phoneticPr fontId="2" type="noConversion"/>
  </si>
  <si>
    <t>Information Truncation</t>
    <phoneticPr fontId="2" type="noConversion"/>
  </si>
  <si>
    <t>Non-explicit Semantic Associations</t>
    <phoneticPr fontId="2" type="noConversion"/>
  </si>
  <si>
    <t>portion</t>
    <phoneticPr fontId="2" type="noConversion"/>
  </si>
  <si>
    <t xml:space="preserve">Predicted Window Size </t>
    <phoneticPr fontId="2" type="noConversion"/>
  </si>
  <si>
    <t>Predicted Window = 0</t>
    <phoneticPr fontId="2" type="noConversion"/>
  </si>
  <si>
    <t>Predicted Window = 1</t>
    <phoneticPr fontId="2" type="noConversion"/>
  </si>
  <si>
    <t>Predicted Window = 2</t>
    <phoneticPr fontId="2" type="noConversion"/>
  </si>
  <si>
    <t>Predicted Window = 3</t>
    <phoneticPr fontId="2" type="noConversion"/>
  </si>
  <si>
    <t>Predicted Window &gt;=4</t>
    <phoneticPr fontId="2" type="noConversion"/>
  </si>
  <si>
    <t>Window = 0</t>
    <phoneticPr fontId="2" type="noConversion"/>
  </si>
  <si>
    <t>Window = 1</t>
    <phoneticPr fontId="2" type="noConversion"/>
  </si>
  <si>
    <t>Window = 2</t>
    <phoneticPr fontId="2" type="noConversion"/>
  </si>
  <si>
    <t>None</t>
    <phoneticPr fontId="2" type="noConversion"/>
  </si>
  <si>
    <t>Fix Window With Best  Recall</t>
    <phoneticPr fontId="2" type="noConversion"/>
  </si>
  <si>
    <t>Information Noise</t>
    <phoneticPr fontId="2" type="noConversion"/>
  </si>
  <si>
    <t xml:space="preserve">unset window refiner </t>
    <phoneticPr fontId="2" type="noConversion"/>
  </si>
  <si>
    <t>confidence</t>
    <phoneticPr fontId="2" type="noConversion"/>
  </si>
  <si>
    <t>Method</t>
  </si>
  <si>
    <t>Fix Window method</t>
    <phoneticPr fontId="2" type="noConversion"/>
  </si>
  <si>
    <t>Our method</t>
    <phoneticPr fontId="2" type="noConversion"/>
  </si>
  <si>
    <t xml:space="preserve">                    Our method 
--unset Window Refiner 
</t>
    <phoneticPr fontId="2" type="noConversion"/>
  </si>
  <si>
    <t xml:space="preserve">                            Our method 
       --unset Window Refiner 
--unset Dynamic Window Selector</t>
    <phoneticPr fontId="2" type="noConversion"/>
  </si>
  <si>
    <t>问题分类</t>
    <phoneticPr fontId="2" type="noConversion"/>
  </si>
  <si>
    <t>占比</t>
    <phoneticPr fontId="2" type="noConversion"/>
  </si>
  <si>
    <t>信息截断</t>
    <phoneticPr fontId="2" type="noConversion"/>
  </si>
  <si>
    <t>信息噪声</t>
    <phoneticPr fontId="2" type="noConversion"/>
  </si>
  <si>
    <t>非显式语义关联</t>
    <phoneticPr fontId="2" type="noConversion"/>
  </si>
  <si>
    <t>主题类别</t>
  </si>
  <si>
    <t>样本数</t>
  </si>
  <si>
    <t>占比</t>
  </si>
  <si>
    <t>投资教育</t>
  </si>
  <si>
    <t>风险识别</t>
  </si>
  <si>
    <t>财务分析</t>
  </si>
  <si>
    <t>产品比较</t>
  </si>
  <si>
    <t>宏观分析</t>
  </si>
  <si>
    <t>行业分析</t>
  </si>
  <si>
    <t>行情解读</t>
  </si>
  <si>
    <t>合计</t>
  </si>
  <si>
    <t>难度等级</t>
  </si>
  <si>
    <t>简单</t>
    <phoneticPr fontId="2" type="noConversion"/>
  </si>
  <si>
    <t>中等</t>
    <phoneticPr fontId="2" type="noConversion"/>
  </si>
  <si>
    <t>较难</t>
    <phoneticPr fontId="2" type="noConversion"/>
  </si>
  <si>
    <t>窗口大小</t>
    <phoneticPr fontId="2" type="noConversion"/>
  </si>
  <si>
    <t>本文方法</t>
    <phoneticPr fontId="2" type="noConversion"/>
  </si>
  <si>
    <t>对话ID</t>
    <phoneticPr fontId="2" type="noConversion"/>
  </si>
  <si>
    <t>固定窗口方法</t>
    <phoneticPr fontId="2" type="noConversion"/>
  </si>
  <si>
    <t>方法</t>
    <phoneticPr fontId="2" type="noConversion"/>
  </si>
  <si>
    <t xml:space="preserve">                            本文方法 
      + 不设置窗口精炼器 
+不设置动态窗口选择器</t>
    <phoneticPr fontId="2" type="noConversion"/>
  </si>
  <si>
    <t xml:space="preserve">                    本文方法 
+不设置窗口精炼器 
</t>
    <phoneticPr fontId="2" type="noConversion"/>
  </si>
  <si>
    <t>MemFinRobot</t>
  </si>
  <si>
    <t>mem0</t>
  </si>
  <si>
    <t>LLM</t>
  </si>
  <si>
    <t>-</t>
  </si>
  <si>
    <t>FinRobot</t>
  </si>
  <si>
    <t>LangMem</t>
  </si>
  <si>
    <t>long_hit_ratio</t>
    <phoneticPr fontId="2" type="noConversion"/>
  </si>
  <si>
    <t>profile_score</t>
    <phoneticPr fontId="2" type="noConversion"/>
  </si>
  <si>
    <t>risk_cover_ratio</t>
    <phoneticPr fontId="2" type="noConversion"/>
  </si>
  <si>
    <t>strict_risk_ratio</t>
    <phoneticPr fontId="2" type="noConversion"/>
  </si>
  <si>
    <t>acc</t>
    <phoneticPr fontId="2" type="noConversion"/>
  </si>
  <si>
    <t>severe↓</t>
    <phoneticPr fontId="2" type="noConversion"/>
  </si>
  <si>
    <t>judge_mean</t>
    <phoneticPr fontId="2" type="noConversion"/>
  </si>
  <si>
    <t>上下文关联度与连续性</t>
    <phoneticPr fontId="2" type="noConversion"/>
  </si>
  <si>
    <t>风险提示覆盖率</t>
    <phoneticPr fontId="2" type="noConversion"/>
  </si>
  <si>
    <t>用户画像对齐度</t>
  </si>
  <si>
    <t>内容合规度</t>
    <phoneticPr fontId="2" type="noConversion"/>
  </si>
  <si>
    <t>决策辅助解释度</t>
    <phoneticPr fontId="2" type="noConversion"/>
  </si>
  <si>
    <t>rubric_hit_ratio</t>
    <phoneticPr fontId="2" type="noConversion"/>
  </si>
  <si>
    <t>contract_ratio↓</t>
    <phoneticPr fontId="2" type="noConversion"/>
  </si>
  <si>
    <t>难度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</si>
</sst>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等线"/>
      <family val="2"/>
      <charset val="134"/>
      <scheme val="minor"/>
    </font>
    <font>
      <sz val="18"/>
      <color rgb="FF000000"/>
      <name val="等线"/>
      <family val="4"/>
      <charset val="134"/>
    </font>
    <font>
      <sz val="9"/>
      <name val="等线"/>
      <family val="2"/>
      <charset val="134"/>
      <scheme val="minor"/>
    </font>
    <font>
      <b/>
      <sz val="14"/>
      <color rgb="FFFFFFFF"/>
      <name val="等线"/>
      <family val="3"/>
      <charset val="134"/>
    </font>
    <font>
      <b/>
      <sz val="18"/>
      <color rgb="FFFFFFFF"/>
      <name val="等线"/>
      <family val="4"/>
      <charset val="134"/>
    </font>
    <font>
      <sz val="14"/>
      <color rgb="FF000000"/>
      <name val="等线"/>
      <family val="3"/>
      <charset val="134"/>
    </font>
    <font>
      <b/>
      <sz val="14"/>
      <color rgb="FF000000"/>
      <name val="等线"/>
      <family val="3"/>
      <charset val="134"/>
    </font>
    <font>
      <u/>
      <sz val="11"/>
      <color theme="10"/>
      <name val="等线"/>
      <family val="2"/>
      <charset val="134"/>
      <scheme val="minor"/>
    </font>
    <font>
      <b/>
      <sz val="18"/>
      <color rgb="FFFFFFFF"/>
      <name val="等线"/>
      <family val="3"/>
      <charset val="134"/>
    </font>
    <font>
      <sz val="18"/>
      <color rgb="FF000000"/>
      <name val="等线"/>
      <family val="3"/>
      <charset val="134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theme="1"/>
      <name val="宋体"/>
      <family val="3"/>
      <charset val="134"/>
    </font>
    <font>
      <sz val="12"/>
      <color theme="1"/>
      <name val="宋体"/>
      <family val="3"/>
      <charset val="134"/>
    </font>
    <font>
      <b/>
      <sz val="18"/>
      <color rgb="FFFFFFFF"/>
      <name val="等线"/>
      <family val="4"/>
      <charset val="134"/>
      <scheme val="minor"/>
    </font>
    <font>
      <sz val="18"/>
      <color rgb="FF000000"/>
      <name val="等线"/>
      <family val="4"/>
      <charset val="134"/>
      <scheme val="minor"/>
    </font>
    <font>
      <sz val="11"/>
      <color rgb="FF000000"/>
      <name val="等线"/>
      <family val="4"/>
      <charset val="134"/>
      <scheme val="minor"/>
    </font>
    <font>
      <sz val="8"/>
      <color rgb="FF000000"/>
      <name val="宋体"/>
      <family val="3"/>
      <charset val="134"/>
    </font>
    <font>
      <b/>
      <sz val="8"/>
      <color rgb="FF000000"/>
      <name val="宋体"/>
      <family val="3"/>
      <charset val="134"/>
    </font>
    <font>
      <b/>
      <sz val="9"/>
      <color rgb="FF000000"/>
      <name val="宋体"/>
      <family val="3"/>
      <charset val="134"/>
    </font>
    <font>
      <sz val="9"/>
      <color rgb="FF000000"/>
      <name val="宋体"/>
      <family val="3"/>
      <charset val="134"/>
    </font>
    <font>
      <b/>
      <sz val="10"/>
      <color rgb="FF000000"/>
      <name val="宋体"/>
      <family val="3"/>
      <charset val="134"/>
    </font>
    <font>
      <sz val="10"/>
      <color rgb="FF000000"/>
      <name val="宋体"/>
      <family val="3"/>
      <charset val="134"/>
    </font>
  </fonts>
  <fills count="11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E1E1E1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CBCBCB"/>
        <bgColor indexed="64"/>
      </patternFill>
    </fill>
    <fill>
      <patternFill patternType="solid">
        <fgColor rgb="FFE7E7E7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CBCBCB"/>
        <bgColor rgb="FF000000"/>
      </patternFill>
    </fill>
    <fill>
      <patternFill patternType="solid">
        <fgColor rgb="FFE7E7E7"/>
        <bgColor rgb="FF000000"/>
      </patternFill>
    </fill>
  </fills>
  <borders count="15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/>
      <right/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74">
    <xf numFmtId="0" fontId="0" fillId="0" borderId="0" xfId="0">
      <alignment vertical="center"/>
    </xf>
    <xf numFmtId="0" fontId="1" fillId="3" borderId="2" xfId="0" applyFont="1" applyFill="1" applyBorder="1" applyAlignment="1">
      <alignment horizontal="center" vertical="center" wrapText="1" readingOrder="1"/>
    </xf>
    <xf numFmtId="0" fontId="1" fillId="3" borderId="2" xfId="0" applyFont="1" applyFill="1" applyBorder="1" applyAlignment="1">
      <alignment horizontal="left" vertical="center" wrapText="1" readingOrder="1"/>
    </xf>
    <xf numFmtId="0" fontId="1" fillId="4" borderId="3" xfId="0" applyFont="1" applyFill="1" applyBorder="1" applyAlignment="1">
      <alignment horizontal="center" vertical="center" wrapText="1" readingOrder="1"/>
    </xf>
    <xf numFmtId="0" fontId="1" fillId="4" borderId="3" xfId="0" applyFont="1" applyFill="1" applyBorder="1" applyAlignment="1">
      <alignment horizontal="left" vertical="center" wrapText="1" readingOrder="1"/>
    </xf>
    <xf numFmtId="0" fontId="1" fillId="3" borderId="3" xfId="0" applyFont="1" applyFill="1" applyBorder="1" applyAlignment="1">
      <alignment horizontal="center" vertical="center" wrapText="1" readingOrder="1"/>
    </xf>
    <xf numFmtId="0" fontId="1" fillId="3" borderId="3" xfId="0" applyFont="1" applyFill="1" applyBorder="1" applyAlignment="1">
      <alignment horizontal="left" vertical="center" wrapText="1" readingOrder="1"/>
    </xf>
    <xf numFmtId="0" fontId="3" fillId="2" borderId="1" xfId="0" applyFont="1" applyFill="1" applyBorder="1" applyAlignment="1">
      <alignment horizontal="center" vertical="center" wrapText="1" readingOrder="1"/>
    </xf>
    <xf numFmtId="0" fontId="3" fillId="2" borderId="0" xfId="0" applyFont="1" applyFill="1" applyAlignment="1">
      <alignment horizontal="center" vertical="center" wrapText="1" readingOrder="1"/>
    </xf>
    <xf numFmtId="0" fontId="4" fillId="2" borderId="1" xfId="0" applyFont="1" applyFill="1" applyBorder="1" applyAlignment="1">
      <alignment horizontal="left" vertical="center" wrapText="1" readingOrder="1"/>
    </xf>
    <xf numFmtId="0" fontId="5" fillId="3" borderId="2" xfId="0" applyFont="1" applyFill="1" applyBorder="1" applyAlignment="1">
      <alignment horizontal="left" vertical="center" wrapText="1" readingOrder="1"/>
    </xf>
    <xf numFmtId="0" fontId="5" fillId="4" borderId="3" xfId="0" applyFont="1" applyFill="1" applyBorder="1" applyAlignment="1">
      <alignment horizontal="left" vertical="center" wrapText="1" readingOrder="1"/>
    </xf>
    <xf numFmtId="0" fontId="5" fillId="3" borderId="3" xfId="0" applyFont="1" applyFill="1" applyBorder="1" applyAlignment="1">
      <alignment horizontal="left" vertical="center" wrapText="1" readingOrder="1"/>
    </xf>
    <xf numFmtId="0" fontId="6" fillId="3" borderId="3" xfId="0" applyFont="1" applyFill="1" applyBorder="1" applyAlignment="1">
      <alignment horizontal="left" vertical="center" wrapText="1" readingOrder="1"/>
    </xf>
    <xf numFmtId="2" fontId="5" fillId="3" borderId="2" xfId="0" applyNumberFormat="1" applyFont="1" applyFill="1" applyBorder="1" applyAlignment="1">
      <alignment horizontal="left" vertical="center" wrapText="1" readingOrder="1"/>
    </xf>
    <xf numFmtId="2" fontId="5" fillId="4" borderId="3" xfId="0" applyNumberFormat="1" applyFont="1" applyFill="1" applyBorder="1" applyAlignment="1">
      <alignment horizontal="left" vertical="center" wrapText="1" readingOrder="1"/>
    </xf>
    <xf numFmtId="2" fontId="5" fillId="3" borderId="3" xfId="0" applyNumberFormat="1" applyFont="1" applyFill="1" applyBorder="1" applyAlignment="1">
      <alignment horizontal="left" vertical="center" wrapText="1" readingOrder="1"/>
    </xf>
    <xf numFmtId="2" fontId="6" fillId="3" borderId="3" xfId="0" applyNumberFormat="1" applyFont="1" applyFill="1" applyBorder="1" applyAlignment="1">
      <alignment horizontal="left" vertical="center" wrapText="1" readingOrder="1"/>
    </xf>
    <xf numFmtId="0" fontId="5" fillId="4" borderId="4" xfId="0" applyFont="1" applyFill="1" applyBorder="1" applyAlignment="1">
      <alignment horizontal="left" vertical="center" wrapText="1" readingOrder="1"/>
    </xf>
    <xf numFmtId="2" fontId="0" fillId="0" borderId="0" xfId="0" applyNumberFormat="1">
      <alignment vertical="center"/>
    </xf>
    <xf numFmtId="0" fontId="7" fillId="2" borderId="1" xfId="1" applyFill="1" applyBorder="1" applyAlignment="1">
      <alignment horizontal="left" vertical="center" wrapText="1" readingOrder="1"/>
    </xf>
    <xf numFmtId="0" fontId="8" fillId="5" borderId="1" xfId="0" applyFont="1" applyFill="1" applyBorder="1" applyAlignment="1">
      <alignment horizontal="left" vertical="center" wrapText="1" readingOrder="1"/>
    </xf>
    <xf numFmtId="0" fontId="9" fillId="6" borderId="2" xfId="0" applyFont="1" applyFill="1" applyBorder="1" applyAlignment="1">
      <alignment horizontal="left" vertical="center" wrapText="1" readingOrder="1"/>
    </xf>
    <xf numFmtId="0" fontId="9" fillId="7" borderId="3" xfId="0" applyFont="1" applyFill="1" applyBorder="1" applyAlignment="1">
      <alignment horizontal="left" vertical="center" wrapText="1" readingOrder="1"/>
    </xf>
    <xf numFmtId="0" fontId="9" fillId="6" borderId="3" xfId="0" applyFont="1" applyFill="1" applyBorder="1" applyAlignment="1">
      <alignment horizontal="left" vertical="center" wrapText="1" readingOrder="1"/>
    </xf>
    <xf numFmtId="0" fontId="0" fillId="0" borderId="0" xfId="0" applyAlignment="1">
      <alignment horizontal="right" vertical="center"/>
    </xf>
    <xf numFmtId="0" fontId="9" fillId="6" borderId="2" xfId="0" applyFont="1" applyFill="1" applyBorder="1" applyAlignment="1">
      <alignment horizontal="right" vertical="center" wrapText="1" readingOrder="1"/>
    </xf>
    <xf numFmtId="0" fontId="9" fillId="7" borderId="3" xfId="0" applyFont="1" applyFill="1" applyBorder="1" applyAlignment="1">
      <alignment horizontal="right" vertical="center" wrapText="1" readingOrder="1"/>
    </xf>
    <xf numFmtId="0" fontId="9" fillId="6" borderId="3" xfId="0" applyFont="1" applyFill="1" applyBorder="1" applyAlignment="1">
      <alignment horizontal="right" vertical="center" wrapText="1" readingOrder="1"/>
    </xf>
    <xf numFmtId="0" fontId="12" fillId="0" borderId="5" xfId="0" applyFont="1" applyBorder="1" applyAlignment="1">
      <alignment horizontal="justify" vertical="center" wrapText="1"/>
    </xf>
    <xf numFmtId="0" fontId="13" fillId="0" borderId="0" xfId="0" applyFont="1" applyAlignment="1">
      <alignment horizontal="justify" vertical="center" wrapText="1"/>
    </xf>
    <xf numFmtId="0" fontId="10" fillId="0" borderId="0" xfId="0" applyFont="1" applyAlignment="1">
      <alignment horizontal="justify" vertical="center" wrapText="1"/>
    </xf>
    <xf numFmtId="10" fontId="10" fillId="0" borderId="0" xfId="0" applyNumberFormat="1" applyFont="1" applyAlignment="1">
      <alignment horizontal="justify" vertical="center" wrapText="1"/>
    </xf>
    <xf numFmtId="0" fontId="12" fillId="0" borderId="6" xfId="0" applyFont="1" applyBorder="1" applyAlignment="1">
      <alignment horizontal="justify" vertical="center" wrapText="1"/>
    </xf>
    <xf numFmtId="0" fontId="11" fillId="0" borderId="6" xfId="0" applyFont="1" applyBorder="1" applyAlignment="1">
      <alignment horizontal="justify" vertical="center" wrapText="1"/>
    </xf>
    <xf numFmtId="9" fontId="11" fillId="0" borderId="6" xfId="0" applyNumberFormat="1" applyFont="1" applyBorder="1" applyAlignment="1">
      <alignment horizontal="justify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right" vertical="center" wrapText="1" indent="2"/>
    </xf>
    <xf numFmtId="0" fontId="13" fillId="0" borderId="0" xfId="0" applyFont="1" applyAlignment="1">
      <alignment horizontal="left" vertical="center" wrapText="1" indent="2"/>
    </xf>
    <xf numFmtId="0" fontId="13" fillId="0" borderId="0" xfId="0" applyFont="1" applyAlignment="1">
      <alignment horizontal="right" vertical="center" wrapText="1" indent="2"/>
    </xf>
    <xf numFmtId="10" fontId="13" fillId="0" borderId="0" xfId="0" applyNumberFormat="1" applyFont="1" applyAlignment="1">
      <alignment horizontal="right" vertical="center" wrapText="1" indent="2"/>
    </xf>
    <xf numFmtId="0" fontId="12" fillId="0" borderId="6" xfId="0" applyFont="1" applyBorder="1" applyAlignment="1">
      <alignment horizontal="left" vertical="center" wrapText="1" indent="2"/>
    </xf>
    <xf numFmtId="0" fontId="12" fillId="0" borderId="6" xfId="0" applyFont="1" applyBorder="1" applyAlignment="1">
      <alignment horizontal="right" vertical="center" wrapText="1" indent="2"/>
    </xf>
    <xf numFmtId="9" fontId="12" fillId="0" borderId="6" xfId="0" applyNumberFormat="1" applyFont="1" applyBorder="1" applyAlignment="1">
      <alignment horizontal="right" vertical="center" wrapText="1" indent="2"/>
    </xf>
    <xf numFmtId="2" fontId="1" fillId="3" borderId="2" xfId="0" applyNumberFormat="1" applyFont="1" applyFill="1" applyBorder="1" applyAlignment="1">
      <alignment horizontal="left" vertical="center" wrapText="1" readingOrder="1"/>
    </xf>
    <xf numFmtId="2" fontId="1" fillId="4" borderId="3" xfId="0" applyNumberFormat="1" applyFont="1" applyFill="1" applyBorder="1" applyAlignment="1">
      <alignment horizontal="left" vertical="center" wrapText="1" readingOrder="1"/>
    </xf>
    <xf numFmtId="2" fontId="1" fillId="3" borderId="3" xfId="0" applyNumberFormat="1" applyFont="1" applyFill="1" applyBorder="1" applyAlignment="1">
      <alignment horizontal="left" vertical="center" wrapText="1" readingOrder="1"/>
    </xf>
    <xf numFmtId="0" fontId="14" fillId="8" borderId="1" xfId="0" applyFont="1" applyFill="1" applyBorder="1" applyAlignment="1">
      <alignment horizontal="left" vertical="center" wrapText="1" readingOrder="1"/>
    </xf>
    <xf numFmtId="0" fontId="14" fillId="8" borderId="7" xfId="0" applyFont="1" applyFill="1" applyBorder="1" applyAlignment="1">
      <alignment horizontal="left" vertical="center" wrapText="1" readingOrder="1"/>
    </xf>
    <xf numFmtId="0" fontId="15" fillId="9" borderId="8" xfId="0" applyFont="1" applyFill="1" applyBorder="1" applyAlignment="1">
      <alignment horizontal="right" vertical="center" wrapText="1" readingOrder="1"/>
    </xf>
    <xf numFmtId="0" fontId="15" fillId="9" borderId="9" xfId="0" applyFont="1" applyFill="1" applyBorder="1" applyAlignment="1">
      <alignment horizontal="left" vertical="center" wrapText="1" readingOrder="1"/>
    </xf>
    <xf numFmtId="0" fontId="15" fillId="10" borderId="8" xfId="0" applyFont="1" applyFill="1" applyBorder="1" applyAlignment="1">
      <alignment horizontal="right" vertical="center" wrapText="1" readingOrder="1"/>
    </xf>
    <xf numFmtId="0" fontId="15" fillId="10" borderId="9" xfId="0" applyFont="1" applyFill="1" applyBorder="1" applyAlignment="1">
      <alignment horizontal="left" vertical="center" wrapText="1" readingOrder="1"/>
    </xf>
    <xf numFmtId="0" fontId="16" fillId="0" borderId="0" xfId="0" applyFont="1" applyAlignment="1">
      <alignment horizontal="right" vertical="center"/>
    </xf>
    <xf numFmtId="0" fontId="16" fillId="0" borderId="0" xfId="0" applyFont="1">
      <alignment vertical="center"/>
    </xf>
    <xf numFmtId="0" fontId="18" fillId="0" borderId="0" xfId="0" applyFont="1" applyAlignment="1">
      <alignment horizontal="left" vertical="center" wrapText="1" indent="2"/>
    </xf>
    <xf numFmtId="0" fontId="17" fillId="0" borderId="0" xfId="0" applyFont="1" applyAlignment="1">
      <alignment horizontal="left" vertical="center" wrapText="1" indent="2"/>
    </xf>
    <xf numFmtId="0" fontId="17" fillId="0" borderId="6" xfId="0" applyFont="1" applyBorder="1" applyAlignment="1">
      <alignment horizontal="left" vertical="center" wrapText="1" indent="2"/>
    </xf>
    <xf numFmtId="0" fontId="17" fillId="0" borderId="6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13" fillId="0" borderId="10" xfId="0" applyFont="1" applyBorder="1">
      <alignment vertical="center"/>
    </xf>
    <xf numFmtId="2" fontId="18" fillId="0" borderId="0" xfId="0" applyNumberFormat="1" applyFont="1" applyAlignment="1">
      <alignment horizontal="left" vertical="center" wrapText="1" indent="2"/>
    </xf>
    <xf numFmtId="2" fontId="17" fillId="0" borderId="0" xfId="0" applyNumberFormat="1" applyFont="1" applyAlignment="1">
      <alignment horizontal="left" vertical="center" wrapText="1" indent="2"/>
    </xf>
    <xf numFmtId="2" fontId="17" fillId="0" borderId="6" xfId="0" applyNumberFormat="1" applyFont="1" applyBorder="1" applyAlignment="1">
      <alignment horizontal="left" vertical="center" wrapText="1" indent="2"/>
    </xf>
    <xf numFmtId="0" fontId="18" fillId="0" borderId="11" xfId="0" applyFont="1" applyBorder="1" applyAlignment="1">
      <alignment vertical="center" wrapText="1"/>
    </xf>
    <xf numFmtId="0" fontId="18" fillId="0" borderId="12" xfId="0" applyFont="1" applyBorder="1" applyAlignment="1">
      <alignment vertical="center" wrapText="1"/>
    </xf>
    <xf numFmtId="0" fontId="17" fillId="0" borderId="13" xfId="0" applyFont="1" applyBorder="1" applyAlignment="1">
      <alignment vertical="center" wrapText="1"/>
    </xf>
    <xf numFmtId="2" fontId="17" fillId="0" borderId="14" xfId="0" applyNumberFormat="1" applyFont="1" applyBorder="1" applyAlignment="1">
      <alignment vertical="center" wrapText="1"/>
    </xf>
    <xf numFmtId="0" fontId="19" fillId="0" borderId="12" xfId="0" applyFont="1" applyBorder="1" applyAlignment="1">
      <alignment vertical="center" wrapText="1"/>
    </xf>
    <xf numFmtId="0" fontId="20" fillId="0" borderId="13" xfId="0" applyFont="1" applyBorder="1" applyAlignment="1">
      <alignment vertical="center" wrapText="1"/>
    </xf>
    <xf numFmtId="2" fontId="20" fillId="0" borderId="14" xfId="0" applyNumberFormat="1" applyFont="1" applyBorder="1" applyAlignment="1">
      <alignment vertical="center" wrapText="1"/>
    </xf>
    <xf numFmtId="0" fontId="21" fillId="0" borderId="12" xfId="0" applyFont="1" applyBorder="1" applyAlignment="1">
      <alignment vertical="center" wrapText="1"/>
    </xf>
    <xf numFmtId="2" fontId="22" fillId="0" borderId="14" xfId="0" applyNumberFormat="1" applyFont="1" applyBorder="1" applyAlignment="1">
      <alignment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Sheet1!$N$1</c:f>
              <c:strCache>
                <c:ptCount val="1"/>
                <c:pt idx="0">
                  <c:v>Recall@5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2">
                  <a:lumMod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0CB4-47A5-8788-13A3BA0DAE01}"/>
              </c:ext>
            </c:extLst>
          </c:dPt>
          <c:dPt>
            <c:idx val="10"/>
            <c:invertIfNegative val="0"/>
            <c:bubble3D val="0"/>
            <c:spPr>
              <a:solidFill>
                <a:schemeClr val="bg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8BB-43A6-AE4B-3E27D76D7EB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Sheet1!$M$2:$M$12</c:f>
              <c:strCache>
                <c:ptCount val="11"/>
                <c:pt idx="0">
                  <c:v>None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Our method</c:v>
                </c:pt>
              </c:strCache>
            </c:strRef>
          </c:cat>
          <c:val>
            <c:numRef>
              <c:f>Sheet1!$N$2:$N$12</c:f>
              <c:numCache>
                <c:formatCode>0.00</c:formatCode>
                <c:ptCount val="11"/>
                <c:pt idx="0">
                  <c:v>0.57999999999999996</c:v>
                </c:pt>
                <c:pt idx="1">
                  <c:v>0.6069</c:v>
                </c:pt>
                <c:pt idx="2">
                  <c:v>0.59030000000000005</c:v>
                </c:pt>
                <c:pt idx="3">
                  <c:v>0.48099999999999998</c:v>
                </c:pt>
                <c:pt idx="4">
                  <c:v>0.50060000000000004</c:v>
                </c:pt>
                <c:pt idx="5">
                  <c:v>0.31919999999999998</c:v>
                </c:pt>
                <c:pt idx="6">
                  <c:v>0.317</c:v>
                </c:pt>
                <c:pt idx="7">
                  <c:v>0.19819999999999999</c:v>
                </c:pt>
                <c:pt idx="8">
                  <c:v>0.1119</c:v>
                </c:pt>
                <c:pt idx="9">
                  <c:v>0.12859999999999999</c:v>
                </c:pt>
                <c:pt idx="10">
                  <c:v>0.68240000000000001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BB-43A6-AE4B-3E27D76D7EB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31145088"/>
        <c:axId val="431147008"/>
      </c:barChart>
      <c:catAx>
        <c:axId val="4311450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pPr>
                <a:r>
                  <a:rPr lang="en-US" altLang="zh-CN" sz="1400" baseline="0">
                    <a:latin typeface="Times New Roman" panose="02020603050405020304" pitchFamily="18" charset="0"/>
                  </a:rPr>
                  <a:t>Window Size</a:t>
                </a:r>
                <a:endParaRPr lang="zh-CN" altLang="en-US" sz="1400" baseline="0">
                  <a:latin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zh-CN"/>
          </a:p>
        </c:txPr>
        <c:crossAx val="431147008"/>
        <c:crosses val="autoZero"/>
        <c:auto val="1"/>
        <c:lblAlgn val="ctr"/>
        <c:lblOffset val="100"/>
        <c:noMultiLvlLbl val="0"/>
      </c:catAx>
      <c:valAx>
        <c:axId val="431147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31145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Fix Window With Best  Recall</c:v>
                </c:pt>
              </c:strCache>
            </c:strRef>
          </c:tx>
          <c:spPr>
            <a:ln w="28575" cap="rnd">
              <a:solidFill>
                <a:schemeClr val="accent2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Sheet1!$A$2:$A$11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Sheet1!$B$2:$B$11</c:f>
              <c:numCache>
                <c:formatCode>General</c:formatCode>
                <c:ptCount val="10"/>
                <c:pt idx="0">
                  <c:v>0.63680000000000003</c:v>
                </c:pt>
                <c:pt idx="1">
                  <c:v>0.6</c:v>
                </c:pt>
                <c:pt idx="2">
                  <c:v>0.67110000000000003</c:v>
                </c:pt>
                <c:pt idx="3">
                  <c:v>0.54379999999999995</c:v>
                </c:pt>
                <c:pt idx="4">
                  <c:v>0.72660000000000002</c:v>
                </c:pt>
                <c:pt idx="5">
                  <c:v>0.60260000000000002</c:v>
                </c:pt>
                <c:pt idx="6">
                  <c:v>0.7238</c:v>
                </c:pt>
                <c:pt idx="7">
                  <c:v>0.72650000000000003</c:v>
                </c:pt>
                <c:pt idx="8">
                  <c:v>0.52680000000000005</c:v>
                </c:pt>
                <c:pt idx="9">
                  <c:v>0.62609999999999999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C0-4F19-9DA1-B544DB602D84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Dynamic window</c:v>
                </c:pt>
              </c:strCache>
            </c:strRef>
          </c:tx>
          <c:spPr>
            <a:ln w="28575" cap="rnd">
              <a:solidFill>
                <a:schemeClr val="accent2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Sheet1!$A$2:$A$11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Sheet1!$C$2:$C$11</c:f>
              <c:numCache>
                <c:formatCode>General</c:formatCode>
                <c:ptCount val="10"/>
                <c:pt idx="0">
                  <c:v>0.6179</c:v>
                </c:pt>
                <c:pt idx="1">
                  <c:v>0.63</c:v>
                </c:pt>
                <c:pt idx="2">
                  <c:v>0.65790000000000004</c:v>
                </c:pt>
                <c:pt idx="3">
                  <c:v>0.54010000000000002</c:v>
                </c:pt>
                <c:pt idx="4">
                  <c:v>0.73070000000000002</c:v>
                </c:pt>
                <c:pt idx="5">
                  <c:v>0.68589999999999995</c:v>
                </c:pt>
                <c:pt idx="6">
                  <c:v>0.64290000000000003</c:v>
                </c:pt>
                <c:pt idx="7">
                  <c:v>0.55069999999999997</c:v>
                </c:pt>
                <c:pt idx="8">
                  <c:v>0.64510000000000001</c:v>
                </c:pt>
                <c:pt idx="9">
                  <c:v>0.64480000000000004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C0-4F19-9DA1-B544DB602D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3953824"/>
        <c:axId val="1653947104"/>
      </c:lineChart>
      <c:catAx>
        <c:axId val="16539538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pPr>
                <a:r>
                  <a:rPr lang="en-US" altLang="zh-CN" sz="1400" baseline="0">
                    <a:latin typeface="Times New Roman" panose="02020603050405020304" pitchFamily="18" charset="0"/>
                  </a:rPr>
                  <a:t>Different conversation</a:t>
                </a:r>
                <a:endParaRPr lang="zh-CN" altLang="en-US" sz="1400" baseline="0">
                  <a:latin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53947104"/>
        <c:crosses val="autoZero"/>
        <c:auto val="1"/>
        <c:lblAlgn val="ctr"/>
        <c:lblOffset val="100"/>
        <c:noMultiLvlLbl val="0"/>
      </c:catAx>
      <c:valAx>
        <c:axId val="1653947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53953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Different conversations Recall@5  </a:t>
            </a:r>
            <a:endParaRPr 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Fix Window With Best  Recall</c:v>
                </c:pt>
              </c:strCache>
            </c:strRef>
          </c:tx>
          <c:spPr>
            <a:solidFill>
              <a:schemeClr val="accent2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numRef>
              <c:f>Sheet1!$A$2:$A$11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Sheet1!$B$2:$B$11</c:f>
              <c:numCache>
                <c:formatCode>General</c:formatCode>
                <c:ptCount val="10"/>
                <c:pt idx="0">
                  <c:v>0.63680000000000003</c:v>
                </c:pt>
                <c:pt idx="1">
                  <c:v>0.6</c:v>
                </c:pt>
                <c:pt idx="2">
                  <c:v>0.67110000000000003</c:v>
                </c:pt>
                <c:pt idx="3">
                  <c:v>0.54379999999999995</c:v>
                </c:pt>
                <c:pt idx="4">
                  <c:v>0.72660000000000002</c:v>
                </c:pt>
                <c:pt idx="5">
                  <c:v>0.60260000000000002</c:v>
                </c:pt>
                <c:pt idx="6">
                  <c:v>0.7238</c:v>
                </c:pt>
                <c:pt idx="7">
                  <c:v>0.72650000000000003</c:v>
                </c:pt>
                <c:pt idx="8">
                  <c:v>0.52680000000000005</c:v>
                </c:pt>
                <c:pt idx="9">
                  <c:v>0.62609999999999999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F9-4B51-982A-798B98D4DF1D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Dynamic window</c:v>
                </c:pt>
              </c:strCache>
            </c:strRef>
          </c:tx>
          <c:spPr>
            <a:solidFill>
              <a:schemeClr val="accent2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numRef>
              <c:f>Sheet1!$A$2:$A$11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Sheet1!$C$2:$C$11</c:f>
              <c:numCache>
                <c:formatCode>General</c:formatCode>
                <c:ptCount val="10"/>
                <c:pt idx="0">
                  <c:v>0.6179</c:v>
                </c:pt>
                <c:pt idx="1">
                  <c:v>0.63</c:v>
                </c:pt>
                <c:pt idx="2">
                  <c:v>0.65790000000000004</c:v>
                </c:pt>
                <c:pt idx="3">
                  <c:v>0.54010000000000002</c:v>
                </c:pt>
                <c:pt idx="4">
                  <c:v>0.73070000000000002</c:v>
                </c:pt>
                <c:pt idx="5">
                  <c:v>0.68589999999999995</c:v>
                </c:pt>
                <c:pt idx="6">
                  <c:v>0.64290000000000003</c:v>
                </c:pt>
                <c:pt idx="7">
                  <c:v>0.55069999999999997</c:v>
                </c:pt>
                <c:pt idx="8">
                  <c:v>0.64510000000000001</c:v>
                </c:pt>
                <c:pt idx="9">
                  <c:v>0.64480000000000004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F9-4B51-982A-798B98D4DF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3607872"/>
        <c:axId val="1313609792"/>
      </c:barChart>
      <c:catAx>
        <c:axId val="13136078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Different</a:t>
                </a:r>
                <a:r>
                  <a:rPr lang="en-US" altLang="zh-CN" baseline="0"/>
                  <a:t> conversation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13609792"/>
        <c:crosses val="autoZero"/>
        <c:auto val="1"/>
        <c:lblAlgn val="ctr"/>
        <c:lblOffset val="100"/>
        <c:noMultiLvlLbl val="0"/>
      </c:catAx>
      <c:valAx>
        <c:axId val="1313609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13607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Sheet1!$U$1</c:f>
              <c:strCache>
                <c:ptCount val="1"/>
                <c:pt idx="0">
                  <c:v>R@5</c:v>
                </c:pt>
              </c:strCache>
            </c:strRef>
          </c:tx>
          <c:spPr>
            <a:ln w="9525" cap="rnd">
              <a:solidFill>
                <a:schemeClr val="accent2">
                  <a:alpha val="50000"/>
                </a:scheme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lt1"/>
              </a:solidFill>
              <a:ln w="15875">
                <a:solidFill>
                  <a:schemeClr val="accent2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Sheet1!$T$2:$T$17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xVal>
          <c:yVal>
            <c:numRef>
              <c:f>Sheet1!$U$2:$U$17</c:f>
              <c:numCache>
                <c:formatCode>0.00</c:formatCode>
                <c:ptCount val="16"/>
                <c:pt idx="0">
                  <c:v>0.57999999999999996</c:v>
                </c:pt>
                <c:pt idx="1">
                  <c:v>0.6069</c:v>
                </c:pt>
                <c:pt idx="2">
                  <c:v>0.59030000000000005</c:v>
                </c:pt>
                <c:pt idx="3">
                  <c:v>0.48099999999999998</c:v>
                </c:pt>
                <c:pt idx="4">
                  <c:v>0.50060000000000004</c:v>
                </c:pt>
                <c:pt idx="5">
                  <c:v>0.31919999999999998</c:v>
                </c:pt>
                <c:pt idx="6">
                  <c:v>0.317</c:v>
                </c:pt>
                <c:pt idx="7" formatCode="General">
                  <c:v>0.17</c:v>
                </c:pt>
                <c:pt idx="8">
                  <c:v>0.19819999999999999</c:v>
                </c:pt>
                <c:pt idx="9">
                  <c:v>0.1119</c:v>
                </c:pt>
                <c:pt idx="10">
                  <c:v>0.12859999999999999</c:v>
                </c:pt>
                <c:pt idx="11">
                  <c:v>8.6400000000000005E-2</c:v>
                </c:pt>
                <c:pt idx="12">
                  <c:v>6.9000000000000006E-2</c:v>
                </c:pt>
                <c:pt idx="13">
                  <c:v>4.7500000000000001E-2</c:v>
                </c:pt>
                <c:pt idx="14">
                  <c:v>4.6800000000000001E-2</c:v>
                </c:pt>
                <c:pt idx="15">
                  <c:v>2.4899999999999999E-2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26-4486-A775-05D78C2D87B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4263503"/>
        <c:axId val="14266383"/>
      </c:scatterChart>
      <c:valAx>
        <c:axId val="142635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200" baseline="0"/>
                  <a:t>Fixed Window Size</a:t>
                </a:r>
                <a:endParaRPr lang="zh-CN" altLang="en-US" sz="1200" baseline="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266383"/>
        <c:crosses val="autoZero"/>
        <c:crossBetween val="midCat"/>
      </c:valAx>
      <c:valAx>
        <c:axId val="14266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200" b="1" i="0" u="none" strike="noStrike" kern="1200" cap="none" spc="0" normalizeH="0" baseline="0">
                    <a:solidFill>
                      <a:sysClr val="windowText" lastClr="000000">
                        <a:lumMod val="50000"/>
                        <a:lumOff val="50000"/>
                      </a:sysClr>
                    </a:solidFill>
                    <a:latin typeface="Times New Roman" panose="02020603050405020304" pitchFamily="18" charset="0"/>
                  </a:rPr>
                  <a:t>R@5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263503"/>
        <c:crosses val="autoZero"/>
        <c:crossBetween val="midCat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Sheet1!$Z$1</c:f>
              <c:strCache>
                <c:ptCount val="1"/>
                <c:pt idx="0">
                  <c:v>portion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Sheet1!$Y$2:$Y$4</c:f>
              <c:strCache>
                <c:ptCount val="3"/>
                <c:pt idx="0">
                  <c:v>Information Truncation</c:v>
                </c:pt>
                <c:pt idx="1">
                  <c:v>Information Noise</c:v>
                </c:pt>
                <c:pt idx="2">
                  <c:v>Non-explicit Semantic Associations</c:v>
                </c:pt>
              </c:strCache>
            </c:strRef>
          </c:cat>
          <c:val>
            <c:numRef>
              <c:f>Sheet1!$Z$2:$Z$4</c:f>
              <c:numCache>
                <c:formatCode>General</c:formatCode>
                <c:ptCount val="3"/>
                <c:pt idx="0">
                  <c:v>0.32</c:v>
                </c:pt>
                <c:pt idx="1">
                  <c:v>0.44</c:v>
                </c:pt>
                <c:pt idx="2">
                  <c:v>0.44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1C-416D-AFC9-E44432FEC53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13761791"/>
        <c:axId val="1213755071"/>
      </c:barChart>
      <c:catAx>
        <c:axId val="1213761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zh-CN"/>
          </a:p>
        </c:txPr>
        <c:crossAx val="1213755071"/>
        <c:crosses val="autoZero"/>
        <c:auto val="1"/>
        <c:lblAlgn val="ctr"/>
        <c:lblOffset val="100"/>
        <c:noMultiLvlLbl val="0"/>
      </c:catAx>
      <c:valAx>
        <c:axId val="1213755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pPr>
                <a:r>
                  <a:rPr lang="en-US" sz="1600" baseline="0">
                    <a:latin typeface="Times New Roman" panose="02020603050405020304" pitchFamily="18" charset="0"/>
                  </a:rPr>
                  <a:t>Proportion</a:t>
                </a:r>
                <a:endParaRPr lang="zh-CN" sz="1600" baseline="0">
                  <a:latin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137617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Sheet1!$AC$1</c:f>
              <c:strCache>
                <c:ptCount val="1"/>
                <c:pt idx="0">
                  <c:v>num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2">
                      <a:shade val="53000"/>
                      <a:lumMod val="60000"/>
                      <a:lumOff val="40000"/>
                    </a:schemeClr>
                  </a:gs>
                  <a:gs pos="0">
                    <a:schemeClr val="accent2">
                      <a:shade val="53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904-49DC-8E96-75922A37ED77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shade val="76000"/>
                      <a:lumMod val="60000"/>
                      <a:lumOff val="40000"/>
                    </a:schemeClr>
                  </a:gs>
                  <a:gs pos="0">
                    <a:schemeClr val="accent2">
                      <a:shade val="76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A904-49DC-8E96-75922A37ED77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A1D-4C69-B6F3-CAE458D9D397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2">
                      <a:tint val="77000"/>
                      <a:lumMod val="60000"/>
                      <a:lumOff val="40000"/>
                    </a:schemeClr>
                  </a:gs>
                  <a:gs pos="0">
                    <a:schemeClr val="accent2">
                      <a:tint val="77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A1D-4C69-B6F3-CAE458D9D397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2">
                      <a:tint val="54000"/>
                      <a:lumMod val="60000"/>
                      <a:lumOff val="40000"/>
                    </a:schemeClr>
                  </a:gs>
                  <a:gs pos="0">
                    <a:schemeClr val="accent2">
                      <a:tint val="54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A904-49DC-8E96-75922A37ED77}"/>
              </c:ext>
            </c:extLst>
          </c:dPt>
          <c:dLbls>
            <c:dLbl>
              <c:idx val="0"/>
              <c:layout>
                <c:manualLayout>
                  <c:x val="2.8064189652048207E-2"/>
                  <c:y val="2.2289558921220452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9217238585728025"/>
                      <c:h val="0.1761191069784747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A904-49DC-8E96-75922A37ED77}"/>
                </c:ext>
              </c:extLst>
            </c:dLbl>
            <c:dLbl>
              <c:idx val="1"/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7804948612445946"/>
                      <c:h val="9.366762991492817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A904-49DC-8E96-75922A37ED77}"/>
                </c:ext>
              </c:extLst>
            </c:dLbl>
            <c:dLbl>
              <c:idx val="4"/>
              <c:layout>
                <c:manualLayout>
                  <c:x val="1.511148673571828E-2"/>
                  <c:y val="5.2008970816181048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211848245072632"/>
                      <c:h val="0.1335689027511391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A904-49DC-8E96-75922A37ED77}"/>
                </c:ext>
              </c:extLst>
            </c:dLbl>
            <c:spPr>
              <a:solidFill>
                <a:sysClr val="window" lastClr="FFFFFF">
                  <a:alpha val="75000"/>
                </a:sysClr>
              </a:solidFill>
              <a:ln w="9525"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Sheet1!$AB$2:$AB$6</c:f>
              <c:strCache>
                <c:ptCount val="5"/>
                <c:pt idx="0">
                  <c:v>Predicted Window = 0</c:v>
                </c:pt>
                <c:pt idx="1">
                  <c:v>Predicted Window = 1</c:v>
                </c:pt>
                <c:pt idx="2">
                  <c:v>Predicted Window = 2</c:v>
                </c:pt>
                <c:pt idx="3">
                  <c:v>Predicted Window = 3</c:v>
                </c:pt>
                <c:pt idx="4">
                  <c:v>Predicted Window &gt;=4</c:v>
                </c:pt>
              </c:strCache>
            </c:strRef>
          </c:cat>
          <c:val>
            <c:numRef>
              <c:f>Sheet1!$AC$2:$AC$6</c:f>
              <c:numCache>
                <c:formatCode>General</c:formatCode>
                <c:ptCount val="5"/>
                <c:pt idx="0">
                  <c:v>266</c:v>
                </c:pt>
                <c:pt idx="1">
                  <c:v>1094</c:v>
                </c:pt>
                <c:pt idx="2">
                  <c:v>2466</c:v>
                </c:pt>
                <c:pt idx="3">
                  <c:v>1175</c:v>
                </c:pt>
                <c:pt idx="4">
                  <c:v>881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04-49DC-8E96-75922A37ED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Sheet1!$J$1</c:f>
              <c:strCache>
                <c:ptCount val="1"/>
                <c:pt idx="0">
                  <c:v>num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2">
                      <a:shade val="65000"/>
                      <a:lumMod val="60000"/>
                      <a:lumOff val="40000"/>
                    </a:schemeClr>
                  </a:gs>
                  <a:gs pos="0">
                    <a:schemeClr val="accent2">
                      <a:shade val="65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96C-4E92-8102-66466E877825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96C-4E92-8102-66466E877825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2">
                      <a:tint val="65000"/>
                      <a:lumMod val="60000"/>
                      <a:lumOff val="40000"/>
                    </a:schemeClr>
                  </a:gs>
                  <a:gs pos="0">
                    <a:schemeClr val="accent2">
                      <a:tint val="65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96C-4E92-8102-66466E877825}"/>
              </c:ext>
            </c:extLst>
          </c:dPt>
          <c:dLbls>
            <c:spPr>
              <a:solidFill>
                <a:sysClr val="window" lastClr="FFFFFF">
                  <a:alpha val="75000"/>
                </a:sysClr>
              </a:solidFill>
              <a:ln w="9525"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Sheet1!$I$2:$I$4</c:f>
              <c:strCache>
                <c:ptCount val="3"/>
                <c:pt idx="0">
                  <c:v>Window = 0</c:v>
                </c:pt>
                <c:pt idx="1">
                  <c:v>Window = 1</c:v>
                </c:pt>
                <c:pt idx="2">
                  <c:v>Window = 2</c:v>
                </c:pt>
              </c:strCache>
            </c:strRef>
          </c:cat>
          <c:val>
            <c:numRef>
              <c:f>Sheet1!$J$2:$J$4</c:f>
              <c:numCache>
                <c:formatCode>General</c:formatCode>
                <c:ptCount val="3"/>
                <c:pt idx="0">
                  <c:v>4</c:v>
                </c:pt>
                <c:pt idx="1">
                  <c:v>2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D2-461D-893D-3309DCF65D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Sheet1!$AI$1</c:f>
              <c:strCache>
                <c:ptCount val="1"/>
                <c:pt idx="0">
                  <c:v>Fix Window With Best  Recall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numFmt formatCode="#,##0.00_);[Red]\(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Sheet1!$AH$2:$AH$11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Sheet1!$AI$2:$AI$11</c:f>
              <c:numCache>
                <c:formatCode>General</c:formatCode>
                <c:ptCount val="10"/>
                <c:pt idx="0">
                  <c:v>0.63680000000000003</c:v>
                </c:pt>
                <c:pt idx="1">
                  <c:v>0.6</c:v>
                </c:pt>
                <c:pt idx="2">
                  <c:v>0.67110000000000003</c:v>
                </c:pt>
                <c:pt idx="3">
                  <c:v>0.54379999999999995</c:v>
                </c:pt>
                <c:pt idx="4">
                  <c:v>0.72660000000000002</c:v>
                </c:pt>
                <c:pt idx="5">
                  <c:v>0.60260000000000002</c:v>
                </c:pt>
                <c:pt idx="6">
                  <c:v>0.7238</c:v>
                </c:pt>
                <c:pt idx="7">
                  <c:v>0.72650000000000003</c:v>
                </c:pt>
                <c:pt idx="8">
                  <c:v>0.52680000000000005</c:v>
                </c:pt>
                <c:pt idx="9">
                  <c:v>0.62609999999999999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60-45EE-BA7A-0846ADACF4B8}"/>
            </c:ext>
          </c:extLst>
        </c:ser>
        <c:ser>
          <c:idx val="1"/>
          <c:order val="1"/>
          <c:tx>
            <c:strRef>
              <c:f>Sheet1!$AJ$1</c:f>
              <c:strCache>
                <c:ptCount val="1"/>
                <c:pt idx="0">
                  <c:v>Our method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numFmt formatCode="#,##0.00_);[Red]\(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Sheet1!$AH$2:$AH$11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Sheet1!$AJ$2:$AJ$11</c:f>
              <c:numCache>
                <c:formatCode>General</c:formatCode>
                <c:ptCount val="10"/>
                <c:pt idx="0">
                  <c:v>0.6179</c:v>
                </c:pt>
                <c:pt idx="1">
                  <c:v>0.63</c:v>
                </c:pt>
                <c:pt idx="2">
                  <c:v>0.71928999999999998</c:v>
                </c:pt>
                <c:pt idx="3">
                  <c:v>0.61677999999999999</c:v>
                </c:pt>
                <c:pt idx="4">
                  <c:v>0.73828000000000005</c:v>
                </c:pt>
                <c:pt idx="5">
                  <c:v>0.69230000000000003</c:v>
                </c:pt>
                <c:pt idx="6">
                  <c:v>0.75238000000000005</c:v>
                </c:pt>
                <c:pt idx="7">
                  <c:v>0.66015599999999997</c:v>
                </c:pt>
                <c:pt idx="8">
                  <c:v>0.66659999999999997</c:v>
                </c:pt>
                <c:pt idx="9">
                  <c:v>0.70093399999999995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60-45EE-BA7A-0846ADACF4B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11829263"/>
        <c:axId val="711823983"/>
      </c:barChart>
      <c:catAx>
        <c:axId val="7118292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11823983"/>
        <c:crosses val="autoZero"/>
        <c:auto val="1"/>
        <c:lblAlgn val="ctr"/>
        <c:lblOffset val="100"/>
        <c:noMultiLvlLbl val="0"/>
      </c:catAx>
      <c:valAx>
        <c:axId val="711823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11829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Sheet1!$AT$1</c:f>
              <c:strCache>
                <c:ptCount val="1"/>
                <c:pt idx="0">
                  <c:v>confidence</c:v>
                </c:pt>
              </c:strCache>
            </c:strRef>
          </c:tx>
          <c:dPt>
            <c:idx val="0"/>
            <c:bubble3D val="0"/>
            <c:spPr>
              <a:solidFill>
                <a:schemeClr val="accent2">
                  <a:shade val="5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DCB-4AB7-BAEF-F363D2FADF1B}"/>
              </c:ext>
            </c:extLst>
          </c:dPt>
          <c:dPt>
            <c:idx val="1"/>
            <c:bubble3D val="0"/>
            <c:spPr>
              <a:solidFill>
                <a:schemeClr val="accent2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DCB-4AB7-BAEF-F363D2FADF1B}"/>
              </c:ext>
            </c:extLst>
          </c:dPt>
          <c:dPt>
            <c:idx val="2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DCB-4AB7-BAEF-F363D2FADF1B}"/>
              </c:ext>
            </c:extLst>
          </c:dPt>
          <c:dPt>
            <c:idx val="3"/>
            <c:bubble3D val="0"/>
            <c:spPr>
              <a:solidFill>
                <a:schemeClr val="accent2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DCB-4AB7-BAEF-F363D2FADF1B}"/>
              </c:ext>
            </c:extLst>
          </c:dPt>
          <c:dPt>
            <c:idx val="4"/>
            <c:bubble3D val="0"/>
            <c:spPr>
              <a:solidFill>
                <a:schemeClr val="accent2">
                  <a:tint val="5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DCB-4AB7-BAEF-F363D2FADF1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Sheet1!$AT$2:$AT$6</c:f>
              <c:numCache>
                <c:formatCode>General</c:formatCode>
                <c:ptCount val="5"/>
                <c:pt idx="0">
                  <c:v>1</c:v>
                </c:pt>
                <c:pt idx="1">
                  <c:v>0.8</c:v>
                </c:pt>
                <c:pt idx="2">
                  <c:v>0.6</c:v>
                </c:pt>
                <c:pt idx="3">
                  <c:v>0.4</c:v>
                </c:pt>
                <c:pt idx="4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15-481D-9E59-D913FD383081}"/>
            </c:ext>
          </c:extLst>
        </c:ser>
        <c:ser>
          <c:idx val="1"/>
          <c:order val="1"/>
          <c:tx>
            <c:strRef>
              <c:f>Sheet1!$AU$1</c:f>
              <c:strCache>
                <c:ptCount val="1"/>
                <c:pt idx="0">
                  <c:v>portion</c:v>
                </c:pt>
              </c:strCache>
            </c:strRef>
          </c:tx>
          <c:dPt>
            <c:idx val="0"/>
            <c:bubble3D val="0"/>
            <c:spPr>
              <a:solidFill>
                <a:schemeClr val="accent2">
                  <a:shade val="5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DCB-4AB7-BAEF-F363D2FADF1B}"/>
              </c:ext>
            </c:extLst>
          </c:dPt>
          <c:dPt>
            <c:idx val="1"/>
            <c:bubble3D val="0"/>
            <c:spPr>
              <a:solidFill>
                <a:schemeClr val="accent2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9DCB-4AB7-BAEF-F363D2FADF1B}"/>
              </c:ext>
            </c:extLst>
          </c:dPt>
          <c:dPt>
            <c:idx val="2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9DCB-4AB7-BAEF-F363D2FADF1B}"/>
              </c:ext>
            </c:extLst>
          </c:dPt>
          <c:dPt>
            <c:idx val="3"/>
            <c:bubble3D val="0"/>
            <c:spPr>
              <a:solidFill>
                <a:schemeClr val="accent2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9DCB-4AB7-BAEF-F363D2FADF1B}"/>
              </c:ext>
            </c:extLst>
          </c:dPt>
          <c:dPt>
            <c:idx val="4"/>
            <c:bubble3D val="0"/>
            <c:spPr>
              <a:solidFill>
                <a:schemeClr val="accent2">
                  <a:tint val="5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9DCB-4AB7-BAEF-F363D2FADF1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Sheet1!$AU$2:$AU$6</c:f>
              <c:numCache>
                <c:formatCode>General</c:formatCode>
                <c:ptCount val="5"/>
                <c:pt idx="0">
                  <c:v>0.62649999999999995</c:v>
                </c:pt>
                <c:pt idx="1">
                  <c:v>0.16270000000000001</c:v>
                </c:pt>
                <c:pt idx="2">
                  <c:v>0.1724</c:v>
                </c:pt>
                <c:pt idx="3">
                  <c:v>3.7100000000000001E-2</c:v>
                </c:pt>
                <c:pt idx="4">
                  <c:v>1.4E-3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15-481D-9E59-D913FD38308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Sheet1!$BN$1</c:f>
              <c:strCache>
                <c:ptCount val="1"/>
                <c:pt idx="0">
                  <c:v>Recall@5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3C3-4EAF-B03F-8EDAF882E00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3C3-4EAF-B03F-8EDAF882E00F}"/>
              </c:ext>
            </c:extLst>
          </c:dPt>
          <c:cat>
            <c:strRef>
              <c:f>Sheet1!$BM$2:$BM$4</c:f>
              <c:strCache>
                <c:ptCount val="3"/>
                <c:pt idx="0">
                  <c:v>Our method</c:v>
                </c:pt>
                <c:pt idx="1">
                  <c:v>                    Our method 
--unset Window Refiner 
</c:v>
                </c:pt>
                <c:pt idx="2">
                  <c:v>                            Our method 
       --unset Window Refiner 
--unset Dynamic Window Selector</c:v>
                </c:pt>
              </c:strCache>
            </c:strRef>
          </c:cat>
          <c:val>
            <c:numRef>
              <c:f>Sheet1!$BN$2:$BN$4</c:f>
              <c:numCache>
                <c:formatCode>General</c:formatCode>
                <c:ptCount val="3"/>
                <c:pt idx="0">
                  <c:v>0.68</c:v>
                </c:pt>
                <c:pt idx="1">
                  <c:v>0.67</c:v>
                </c:pt>
                <c:pt idx="2">
                  <c:v>0.66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C3-4EAF-B03F-8EDAF882E0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51892560"/>
        <c:axId val="951888720"/>
      </c:barChart>
      <c:catAx>
        <c:axId val="9518925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t" anchorCtr="0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951888720"/>
        <c:crosses val="autoZero"/>
        <c:auto val="1"/>
        <c:lblAlgn val="ctr"/>
        <c:lblOffset val="100"/>
        <c:noMultiLvlLbl val="0"/>
      </c:catAx>
      <c:valAx>
        <c:axId val="951888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951892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Sheet1!$BN$1</c:f>
              <c:strCache>
                <c:ptCount val="1"/>
                <c:pt idx="0">
                  <c:v>Recall@5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E87-4102-8B9E-F04D1D1E9DC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E87-4102-8B9E-F04D1D1E9DC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E87-4102-8B9E-F04D1D1E9DC3}"/>
              </c:ext>
            </c:extLst>
          </c:dPt>
          <c:cat>
            <c:strRef>
              <c:f>Sheet1!$BM$2:$BM$5</c:f>
              <c:strCache>
                <c:ptCount val="4"/>
                <c:pt idx="0">
                  <c:v>Our method</c:v>
                </c:pt>
                <c:pt idx="1">
                  <c:v>                    Our method 
--unset Window Refiner 
</c:v>
                </c:pt>
                <c:pt idx="2">
                  <c:v>                            Our method 
       --unset Window Refiner 
--unset Dynamic Window Selector</c:v>
                </c:pt>
                <c:pt idx="3">
                  <c:v>Fix Window method</c:v>
                </c:pt>
              </c:strCache>
            </c:strRef>
          </c:cat>
          <c:val>
            <c:numRef>
              <c:f>Sheet1!$BN$2:$BN$5</c:f>
              <c:numCache>
                <c:formatCode>General</c:formatCode>
                <c:ptCount val="4"/>
                <c:pt idx="0">
                  <c:v>0.68</c:v>
                </c:pt>
                <c:pt idx="1">
                  <c:v>0.67</c:v>
                </c:pt>
                <c:pt idx="2">
                  <c:v>0.66</c:v>
                </c:pt>
                <c:pt idx="3">
                  <c:v>0.61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87-4102-8B9E-F04D1D1E9D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99392112"/>
        <c:axId val="1099393072"/>
      </c:barChart>
      <c:catAx>
        <c:axId val="10993921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99393072"/>
        <c:crosses val="autoZero"/>
        <c:auto val="1"/>
        <c:lblAlgn val="ctr"/>
        <c:lblOffset val="100"/>
        <c:noMultiLvlLbl val="0"/>
      </c:catAx>
      <c:valAx>
        <c:axId val="1099393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99392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'表5.2'!$A$2</c:f>
              <c:strCache>
                <c:ptCount val="1"/>
                <c:pt idx="0">
                  <c:v>MemFinRobot</c:v>
                </c:pt>
              </c:strCache>
            </c:strRef>
          </c:tx>
          <c:spPr>
            <a:solidFill>
              <a:schemeClr val="accent3">
                <a:shade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'表5.2'!$B$1:$H$1</c:f>
              <c:strCache>
                <c:ptCount val="7"/>
                <c:pt idx="0">
                  <c:v>产品比较</c:v>
                </c:pt>
                <c:pt idx="1">
                  <c:v>宏观分析</c:v>
                </c:pt>
                <c:pt idx="2">
                  <c:v>投资教育</c:v>
                </c:pt>
                <c:pt idx="3">
                  <c:v>行业分析</c:v>
                </c:pt>
                <c:pt idx="4">
                  <c:v>行情解读</c:v>
                </c:pt>
                <c:pt idx="5">
                  <c:v>财务分析</c:v>
                </c:pt>
                <c:pt idx="6">
                  <c:v>风险识别</c:v>
                </c:pt>
              </c:strCache>
            </c:strRef>
          </c:cat>
          <c:val>
            <c:numRef>
              <c:f>'表5.2'!$B$2:$H$2</c:f>
              <c:numCache>
                <c:formatCode>0.00</c:formatCode>
                <c:ptCount val="7"/>
                <c:pt idx="0">
                  <c:v>7.8E-2</c:v>
                </c:pt>
                <c:pt idx="1">
                  <c:v>3.5999999999999997E-2</c:v>
                </c:pt>
                <c:pt idx="2">
                  <c:v>4.02E-2</c:v>
                </c:pt>
                <c:pt idx="3">
                  <c:v>0.1212</c:v>
                </c:pt>
                <c:pt idx="4">
                  <c:v>3.5700000000000003E-2</c:v>
                </c:pt>
                <c:pt idx="5">
                  <c:v>7.1400000000000005E-2</c:v>
                </c:pt>
                <c:pt idx="6">
                  <c:v>6.25E-2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C5-7B4B-9E5C-91499128BFD2}"/>
            </c:ext>
          </c:extLst>
        </c:ser>
        <c:ser>
          <c:idx val="1"/>
          <c:order val="1"/>
          <c:tx>
            <c:strRef>
              <c:f>'表5.2'!$A$3</c:f>
              <c:strCache>
                <c:ptCount val="1"/>
                <c:pt idx="0">
                  <c:v>mem0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'表5.2'!$B$1:$H$1</c:f>
              <c:strCache>
                <c:ptCount val="7"/>
                <c:pt idx="0">
                  <c:v>产品比较</c:v>
                </c:pt>
                <c:pt idx="1">
                  <c:v>宏观分析</c:v>
                </c:pt>
                <c:pt idx="2">
                  <c:v>投资教育</c:v>
                </c:pt>
                <c:pt idx="3">
                  <c:v>行业分析</c:v>
                </c:pt>
                <c:pt idx="4">
                  <c:v>行情解读</c:v>
                </c:pt>
                <c:pt idx="5">
                  <c:v>财务分析</c:v>
                </c:pt>
                <c:pt idx="6">
                  <c:v>风险识别</c:v>
                </c:pt>
              </c:strCache>
            </c:strRef>
          </c:cat>
          <c:val>
            <c:numRef>
              <c:f>'表5.2'!$B$3:$H$3</c:f>
              <c:numCache>
                <c:formatCode>0.00</c:formatCode>
                <c:ptCount val="7"/>
                <c:pt idx="0">
                  <c:v>4.9599999999999998E-2</c:v>
                </c:pt>
                <c:pt idx="1">
                  <c:v>2.8000000000000001E-2</c:v>
                </c:pt>
                <c:pt idx="2">
                  <c:v>0.10920000000000001</c:v>
                </c:pt>
                <c:pt idx="3">
                  <c:v>5.5100000000000003E-2</c:v>
                </c:pt>
                <c:pt idx="4">
                  <c:v>3.5700000000000003E-2</c:v>
                </c:pt>
                <c:pt idx="5">
                  <c:v>1.35E-2</c:v>
                </c:pt>
                <c:pt idx="6">
                  <c:v>3.1300000000000001E-2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C5-7B4B-9E5C-91499128BFD2}"/>
            </c:ext>
          </c:extLst>
        </c:ser>
        <c:ser>
          <c:idx val="2"/>
          <c:order val="2"/>
          <c:tx>
            <c:strRef>
              <c:f>'表5.2'!$A$4</c:f>
              <c:strCache>
                <c:ptCount val="1"/>
                <c:pt idx="0">
                  <c:v>LangMem</c:v>
                </c:pt>
              </c:strCache>
            </c:strRef>
          </c:tx>
          <c:spPr>
            <a:solidFill>
              <a:schemeClr val="accent3">
                <a:tint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'表5.2'!$B$1:$H$1</c:f>
              <c:strCache>
                <c:ptCount val="7"/>
                <c:pt idx="0">
                  <c:v>产品比较</c:v>
                </c:pt>
                <c:pt idx="1">
                  <c:v>宏观分析</c:v>
                </c:pt>
                <c:pt idx="2">
                  <c:v>投资教育</c:v>
                </c:pt>
                <c:pt idx="3">
                  <c:v>行业分析</c:v>
                </c:pt>
                <c:pt idx="4">
                  <c:v>行情解读</c:v>
                </c:pt>
                <c:pt idx="5">
                  <c:v>财务分析</c:v>
                </c:pt>
                <c:pt idx="6">
                  <c:v>风险识别</c:v>
                </c:pt>
              </c:strCache>
            </c:strRef>
          </c:cat>
          <c:val>
            <c:numRef>
              <c:f>'表5.2'!$B$4:$H$4</c:f>
              <c:numCache>
                <c:formatCode>0.00</c:formatCode>
                <c:ptCount val="7"/>
                <c:pt idx="0">
                  <c:v>0.10639999999999999</c:v>
                </c:pt>
                <c:pt idx="1">
                  <c:v>6.3100000000000003E-2</c:v>
                </c:pt>
                <c:pt idx="2">
                  <c:v>5.7500000000000002E-2</c:v>
                </c:pt>
                <c:pt idx="3">
                  <c:v>4.5499999999999999E-2</c:v>
                </c:pt>
                <c:pt idx="4">
                  <c:v>0</c:v>
                </c:pt>
                <c:pt idx="5">
                  <c:v>2.3800000000000002E-2</c:v>
                </c:pt>
                <c:pt idx="6">
                  <c:v>2.3400000000000001E-2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C5-7B4B-9E5C-91499128BFD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769505680"/>
        <c:axId val="537854272"/>
      </c:barChart>
      <c:catAx>
        <c:axId val="7695056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37854272"/>
        <c:crosses val="autoZero"/>
        <c:auto val="1"/>
        <c:lblAlgn val="ctr"/>
        <c:lblOffset val="100"/>
        <c:noMultiLvlLbl val="0"/>
      </c:catAx>
      <c:valAx>
        <c:axId val="537854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9505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'表5.2'!$K$1</c:f>
              <c:strCache>
                <c:ptCount val="1"/>
                <c:pt idx="0">
                  <c:v>MemFinRobot</c:v>
                </c:pt>
              </c:strCache>
            </c:strRef>
          </c:tx>
          <c:spPr>
            <a:solidFill>
              <a:schemeClr val="accent3">
                <a:shade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'表5.2'!$J$2:$J$4</c:f>
              <c:strCache>
                <c:ptCount val="3"/>
                <c:pt idx="0">
                  <c:v>简单</c:v>
                </c:pt>
                <c:pt idx="1">
                  <c:v>中等</c:v>
                </c:pt>
                <c:pt idx="2">
                  <c:v>较难</c:v>
                </c:pt>
              </c:strCache>
            </c:strRef>
          </c:cat>
          <c:val>
            <c:numRef>
              <c:f>'表5.2'!$K$2:$K$4</c:f>
              <c:numCache>
                <c:formatCode>0.00</c:formatCode>
                <c:ptCount val="3"/>
                <c:pt idx="0">
                  <c:v>6.4199999999999993E-2</c:v>
                </c:pt>
                <c:pt idx="1">
                  <c:v>7.4399999999999994E-2</c:v>
                </c:pt>
                <c:pt idx="2">
                  <c:v>6.8900000000000003E-2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66-884E-9E9C-41778BC7B5BC}"/>
            </c:ext>
          </c:extLst>
        </c:ser>
        <c:ser>
          <c:idx val="1"/>
          <c:order val="1"/>
          <c:tx>
            <c:strRef>
              <c:f>'表5.2'!$L$1</c:f>
              <c:strCache>
                <c:ptCount val="1"/>
                <c:pt idx="0">
                  <c:v>mem0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'表5.2'!$J$2:$J$4</c:f>
              <c:strCache>
                <c:ptCount val="3"/>
                <c:pt idx="0">
                  <c:v>简单</c:v>
                </c:pt>
                <c:pt idx="1">
                  <c:v>中等</c:v>
                </c:pt>
                <c:pt idx="2">
                  <c:v>较难</c:v>
                </c:pt>
              </c:strCache>
            </c:strRef>
          </c:cat>
          <c:val>
            <c:numRef>
              <c:f>'表5.2'!$L$2:$L$4</c:f>
              <c:numCache>
                <c:formatCode>0.00</c:formatCode>
                <c:ptCount val="3"/>
                <c:pt idx="0">
                  <c:v>3.9699999999999999E-2</c:v>
                </c:pt>
                <c:pt idx="1">
                  <c:v>6.6100000000000006E-2</c:v>
                </c:pt>
                <c:pt idx="2">
                  <c:v>6.8699999999999997E-2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66-884E-9E9C-41778BC7B5BC}"/>
            </c:ext>
          </c:extLst>
        </c:ser>
        <c:ser>
          <c:idx val="2"/>
          <c:order val="2"/>
          <c:tx>
            <c:strRef>
              <c:f>'表5.2'!$M$1</c:f>
              <c:strCache>
                <c:ptCount val="1"/>
                <c:pt idx="0">
                  <c:v>LangMem</c:v>
                </c:pt>
              </c:strCache>
            </c:strRef>
          </c:tx>
          <c:spPr>
            <a:solidFill>
              <a:schemeClr val="accent3">
                <a:tint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'表5.2'!$J$2:$J$4</c:f>
              <c:strCache>
                <c:ptCount val="3"/>
                <c:pt idx="0">
                  <c:v>简单</c:v>
                </c:pt>
                <c:pt idx="1">
                  <c:v>中等</c:v>
                </c:pt>
                <c:pt idx="2">
                  <c:v>较难</c:v>
                </c:pt>
              </c:strCache>
            </c:strRef>
          </c:cat>
          <c:val>
            <c:numRef>
              <c:f>'表5.2'!$M$2:$M$4</c:f>
              <c:numCache>
                <c:formatCode>0.00</c:formatCode>
                <c:ptCount val="3"/>
                <c:pt idx="0">
                  <c:v>4.7500000000000001E-2</c:v>
                </c:pt>
                <c:pt idx="1">
                  <c:v>3.3099999999999997E-2</c:v>
                </c:pt>
                <c:pt idx="2">
                  <c:v>7.2099999999999997E-2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766-884E-9E9C-41778BC7B5B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34598752"/>
        <c:axId val="234140544"/>
      </c:barChart>
      <c:catAx>
        <c:axId val="2345987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样本难度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34140544"/>
        <c:crosses val="autoZero"/>
        <c:auto val="1"/>
        <c:lblAlgn val="ctr"/>
        <c:lblOffset val="100"/>
        <c:noMultiLvlLbl val="0"/>
      </c:catAx>
      <c:valAx>
        <c:axId val="234140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long_hit_ratio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34598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宋体" panose="02010600030101010101" pitchFamily="2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'表5.2'!$A$31</c:f>
              <c:strCache>
                <c:ptCount val="1"/>
                <c:pt idx="0">
                  <c:v>MemFinRobot</c:v>
                </c:pt>
              </c:strCache>
            </c:strRef>
          </c:tx>
          <c:spPr>
            <a:solidFill>
              <a:schemeClr val="accent3">
                <a:shade val="53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'表5.2'!$B$30:$H$30</c:f>
              <c:strCache>
                <c:ptCount val="7"/>
                <c:pt idx="0">
                  <c:v>产品比较</c:v>
                </c:pt>
                <c:pt idx="1">
                  <c:v>宏观分析</c:v>
                </c:pt>
                <c:pt idx="2">
                  <c:v>投资教育</c:v>
                </c:pt>
                <c:pt idx="3">
                  <c:v>行业分析</c:v>
                </c:pt>
                <c:pt idx="4">
                  <c:v>行情解读</c:v>
                </c:pt>
                <c:pt idx="5">
                  <c:v>财务分析</c:v>
                </c:pt>
                <c:pt idx="6">
                  <c:v>风险识别</c:v>
                </c:pt>
              </c:strCache>
            </c:strRef>
          </c:cat>
          <c:val>
            <c:numRef>
              <c:f>'表5.2'!$B$31:$H$31</c:f>
              <c:numCache>
                <c:formatCode>0.00</c:formatCode>
                <c:ptCount val="7"/>
                <c:pt idx="0">
                  <c:v>4.7721999999999998</c:v>
                </c:pt>
                <c:pt idx="1">
                  <c:v>4.9551999999999996</c:v>
                </c:pt>
                <c:pt idx="2">
                  <c:v>4.8132000000000001</c:v>
                </c:pt>
                <c:pt idx="3">
                  <c:v>4.9555999999999996</c:v>
                </c:pt>
                <c:pt idx="4">
                  <c:v>4.9230999999999998</c:v>
                </c:pt>
                <c:pt idx="5">
                  <c:v>4.6870000000000003</c:v>
                </c:pt>
                <c:pt idx="6">
                  <c:v>4.79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D2-E240-A079-C03C48A62D5E}"/>
            </c:ext>
          </c:extLst>
        </c:ser>
        <c:ser>
          <c:idx val="1"/>
          <c:order val="1"/>
          <c:tx>
            <c:strRef>
              <c:f>'表5.2'!$A$32</c:f>
              <c:strCache>
                <c:ptCount val="1"/>
                <c:pt idx="0">
                  <c:v>mem0</c:v>
                </c:pt>
              </c:strCache>
            </c:strRef>
          </c:tx>
          <c:spPr>
            <a:solidFill>
              <a:schemeClr val="accent3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'表5.2'!$B$30:$H$30</c:f>
              <c:strCache>
                <c:ptCount val="7"/>
                <c:pt idx="0">
                  <c:v>产品比较</c:v>
                </c:pt>
                <c:pt idx="1">
                  <c:v>宏观分析</c:v>
                </c:pt>
                <c:pt idx="2">
                  <c:v>投资教育</c:v>
                </c:pt>
                <c:pt idx="3">
                  <c:v>行业分析</c:v>
                </c:pt>
                <c:pt idx="4">
                  <c:v>行情解读</c:v>
                </c:pt>
                <c:pt idx="5">
                  <c:v>财务分析</c:v>
                </c:pt>
                <c:pt idx="6">
                  <c:v>风险识别</c:v>
                </c:pt>
              </c:strCache>
            </c:strRef>
          </c:cat>
          <c:val>
            <c:numRef>
              <c:f>'表5.2'!$B$32:$H$32</c:f>
              <c:numCache>
                <c:formatCode>0.00</c:formatCode>
                <c:ptCount val="7"/>
                <c:pt idx="0">
                  <c:v>4.6557000000000004</c:v>
                </c:pt>
                <c:pt idx="1">
                  <c:v>4.8498000000000001</c:v>
                </c:pt>
                <c:pt idx="2">
                  <c:v>4.5232999999999999</c:v>
                </c:pt>
                <c:pt idx="3">
                  <c:v>4.8528000000000002</c:v>
                </c:pt>
                <c:pt idx="4">
                  <c:v>4.5130999999999997</c:v>
                </c:pt>
                <c:pt idx="5">
                  <c:v>4.5999999999999996</c:v>
                </c:pt>
                <c:pt idx="6">
                  <c:v>4.3986999999999998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D2-E240-A079-C03C48A62D5E}"/>
            </c:ext>
          </c:extLst>
        </c:ser>
        <c:ser>
          <c:idx val="2"/>
          <c:order val="2"/>
          <c:tx>
            <c:strRef>
              <c:f>'表5.2'!$A$33</c:f>
              <c:strCache>
                <c:ptCount val="1"/>
                <c:pt idx="0">
                  <c:v>LLM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'表5.2'!$B$30:$H$30</c:f>
              <c:strCache>
                <c:ptCount val="7"/>
                <c:pt idx="0">
                  <c:v>产品比较</c:v>
                </c:pt>
                <c:pt idx="1">
                  <c:v>宏观分析</c:v>
                </c:pt>
                <c:pt idx="2">
                  <c:v>投资教育</c:v>
                </c:pt>
                <c:pt idx="3">
                  <c:v>行业分析</c:v>
                </c:pt>
                <c:pt idx="4">
                  <c:v>行情解读</c:v>
                </c:pt>
                <c:pt idx="5">
                  <c:v>财务分析</c:v>
                </c:pt>
                <c:pt idx="6">
                  <c:v>风险识别</c:v>
                </c:pt>
              </c:strCache>
            </c:strRef>
          </c:cat>
          <c:val>
            <c:numRef>
              <c:f>'表5.2'!$B$33:$H$33</c:f>
              <c:numCache>
                <c:formatCode>0.00</c:formatCode>
                <c:ptCount val="7"/>
                <c:pt idx="0">
                  <c:v>4.3925000000000001</c:v>
                </c:pt>
                <c:pt idx="1">
                  <c:v>4.5258000000000003</c:v>
                </c:pt>
                <c:pt idx="2">
                  <c:v>4.4101999999999997</c:v>
                </c:pt>
                <c:pt idx="3">
                  <c:v>4.5335999999999999</c:v>
                </c:pt>
                <c:pt idx="4">
                  <c:v>4.4615</c:v>
                </c:pt>
                <c:pt idx="5">
                  <c:v>4.6471</c:v>
                </c:pt>
                <c:pt idx="6">
                  <c:v>4.3917000000000002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5D2-E240-A079-C03C48A62D5E}"/>
            </c:ext>
          </c:extLst>
        </c:ser>
        <c:ser>
          <c:idx val="3"/>
          <c:order val="3"/>
          <c:tx>
            <c:strRef>
              <c:f>'表5.2'!$A$34</c:f>
              <c:strCache>
                <c:ptCount val="1"/>
                <c:pt idx="0">
                  <c:v>FinRobot</c:v>
                </c:pt>
              </c:strCache>
            </c:strRef>
          </c:tx>
          <c:spPr>
            <a:solidFill>
              <a:schemeClr val="accent3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'表5.2'!$B$30:$H$30</c:f>
              <c:strCache>
                <c:ptCount val="7"/>
                <c:pt idx="0">
                  <c:v>产品比较</c:v>
                </c:pt>
                <c:pt idx="1">
                  <c:v>宏观分析</c:v>
                </c:pt>
                <c:pt idx="2">
                  <c:v>投资教育</c:v>
                </c:pt>
                <c:pt idx="3">
                  <c:v>行业分析</c:v>
                </c:pt>
                <c:pt idx="4">
                  <c:v>行情解读</c:v>
                </c:pt>
                <c:pt idx="5">
                  <c:v>财务分析</c:v>
                </c:pt>
                <c:pt idx="6">
                  <c:v>风险识别</c:v>
                </c:pt>
              </c:strCache>
            </c:strRef>
          </c:cat>
          <c:val>
            <c:numRef>
              <c:f>'表5.2'!$B$34:$H$34</c:f>
              <c:numCache>
                <c:formatCode>0.00</c:formatCode>
                <c:ptCount val="7"/>
                <c:pt idx="0">
                  <c:v>4.5945</c:v>
                </c:pt>
                <c:pt idx="1">
                  <c:v>4.8208000000000002</c:v>
                </c:pt>
                <c:pt idx="2">
                  <c:v>4.5841000000000003</c:v>
                </c:pt>
                <c:pt idx="3">
                  <c:v>4.4596</c:v>
                </c:pt>
                <c:pt idx="4">
                  <c:v>4.6414999999999997</c:v>
                </c:pt>
                <c:pt idx="5">
                  <c:v>4.2747000000000002</c:v>
                </c:pt>
                <c:pt idx="6">
                  <c:v>4.3772000000000002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5D2-E240-A079-C03C48A62D5E}"/>
            </c:ext>
          </c:extLst>
        </c:ser>
        <c:ser>
          <c:idx val="4"/>
          <c:order val="4"/>
          <c:tx>
            <c:strRef>
              <c:f>'表5.2'!$A$35</c:f>
              <c:strCache>
                <c:ptCount val="1"/>
                <c:pt idx="0">
                  <c:v>LangMem</c:v>
                </c:pt>
              </c:strCache>
            </c:strRef>
          </c:tx>
          <c:spPr>
            <a:solidFill>
              <a:schemeClr val="accent3">
                <a:tint val="54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'表5.2'!$B$30:$H$30</c:f>
              <c:strCache>
                <c:ptCount val="7"/>
                <c:pt idx="0">
                  <c:v>产品比较</c:v>
                </c:pt>
                <c:pt idx="1">
                  <c:v>宏观分析</c:v>
                </c:pt>
                <c:pt idx="2">
                  <c:v>投资教育</c:v>
                </c:pt>
                <c:pt idx="3">
                  <c:v>行业分析</c:v>
                </c:pt>
                <c:pt idx="4">
                  <c:v>行情解读</c:v>
                </c:pt>
                <c:pt idx="5">
                  <c:v>财务分析</c:v>
                </c:pt>
                <c:pt idx="6">
                  <c:v>风险识别</c:v>
                </c:pt>
              </c:strCache>
            </c:strRef>
          </c:cat>
          <c:val>
            <c:numRef>
              <c:f>'表5.2'!$B$35:$H$35</c:f>
              <c:numCache>
                <c:formatCode>0.00</c:formatCode>
                <c:ptCount val="7"/>
                <c:pt idx="0">
                  <c:v>4.5389999999999997</c:v>
                </c:pt>
                <c:pt idx="1">
                  <c:v>4.2377000000000002</c:v>
                </c:pt>
                <c:pt idx="2">
                  <c:v>4.3617999999999997</c:v>
                </c:pt>
                <c:pt idx="3">
                  <c:v>4.4816000000000003</c:v>
                </c:pt>
                <c:pt idx="4">
                  <c:v>4.8977000000000004</c:v>
                </c:pt>
                <c:pt idx="5">
                  <c:v>4.4709000000000003</c:v>
                </c:pt>
                <c:pt idx="6">
                  <c:v>4.2542999999999997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5D2-E240-A079-C03C48A62D5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37871408"/>
        <c:axId val="768956144"/>
      </c:barChart>
      <c:catAx>
        <c:axId val="5378714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+mn-cs"/>
              </a:defRPr>
            </a:pPr>
            <a:endParaRPr lang="zh-CN"/>
          </a:p>
        </c:txPr>
        <c:crossAx val="768956144"/>
        <c:crosses val="autoZero"/>
        <c:auto val="1"/>
        <c:lblAlgn val="ctr"/>
        <c:lblOffset val="100"/>
        <c:noMultiLvlLbl val="0"/>
      </c:catAx>
      <c:valAx>
        <c:axId val="768956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zh-CN" sz="1000" b="0" i="0" u="none" strike="noStrike" baseline="0">
                    <a:effectLst/>
                  </a:rPr>
                  <a:t>决策辅助解释度 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37871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宋体" panose="02010600030101010101" pitchFamily="2" charset="-122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'表5.2'!$J$31</c:f>
              <c:strCache>
                <c:ptCount val="1"/>
                <c:pt idx="0">
                  <c:v>简单</c:v>
                </c:pt>
              </c:strCache>
            </c:strRef>
          </c:tx>
          <c:spPr>
            <a:solidFill>
              <a:schemeClr val="accent3">
                <a:shade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'表5.2'!$K$30:$O$30</c:f>
              <c:strCache>
                <c:ptCount val="5"/>
                <c:pt idx="0">
                  <c:v>MemFinRobot</c:v>
                </c:pt>
                <c:pt idx="1">
                  <c:v>mem0</c:v>
                </c:pt>
                <c:pt idx="2">
                  <c:v>LLM</c:v>
                </c:pt>
                <c:pt idx="3">
                  <c:v>FinRobot</c:v>
                </c:pt>
                <c:pt idx="4">
                  <c:v>LangMem</c:v>
                </c:pt>
              </c:strCache>
            </c:strRef>
          </c:cat>
          <c:val>
            <c:numRef>
              <c:f>'表5.2'!$K$31:$O$31</c:f>
              <c:numCache>
                <c:formatCode>0.00</c:formatCode>
                <c:ptCount val="5"/>
                <c:pt idx="0">
                  <c:v>4.8085000000000004</c:v>
                </c:pt>
                <c:pt idx="1">
                  <c:v>4.5571999999999999</c:v>
                </c:pt>
                <c:pt idx="2">
                  <c:v>4.4707999999999997</c:v>
                </c:pt>
                <c:pt idx="3">
                  <c:v>4.4579000000000004</c:v>
                </c:pt>
                <c:pt idx="4">
                  <c:v>4.3311999999999999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C8-5D44-BEB9-D4D3CE5CF5FD}"/>
            </c:ext>
          </c:extLst>
        </c:ser>
        <c:ser>
          <c:idx val="1"/>
          <c:order val="1"/>
          <c:tx>
            <c:strRef>
              <c:f>'表5.2'!$J$32</c:f>
              <c:strCache>
                <c:ptCount val="1"/>
                <c:pt idx="0">
                  <c:v>中等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'表5.2'!$K$30:$O$30</c:f>
              <c:strCache>
                <c:ptCount val="5"/>
                <c:pt idx="0">
                  <c:v>MemFinRobot</c:v>
                </c:pt>
                <c:pt idx="1">
                  <c:v>mem0</c:v>
                </c:pt>
                <c:pt idx="2">
                  <c:v>LLM</c:v>
                </c:pt>
                <c:pt idx="3">
                  <c:v>FinRobot</c:v>
                </c:pt>
                <c:pt idx="4">
                  <c:v>LangMem</c:v>
                </c:pt>
              </c:strCache>
            </c:strRef>
          </c:cat>
          <c:val>
            <c:numRef>
              <c:f>'表5.2'!$K$32:$O$32</c:f>
              <c:numCache>
                <c:formatCode>0.00</c:formatCode>
                <c:ptCount val="5"/>
                <c:pt idx="0">
                  <c:v>4.7285000000000004</c:v>
                </c:pt>
                <c:pt idx="1">
                  <c:v>4.5152999999999999</c:v>
                </c:pt>
                <c:pt idx="2">
                  <c:v>4.2487000000000004</c:v>
                </c:pt>
                <c:pt idx="3">
                  <c:v>4.5944000000000003</c:v>
                </c:pt>
                <c:pt idx="4">
                  <c:v>4.3033999999999999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C8-5D44-BEB9-D4D3CE5CF5FD}"/>
            </c:ext>
          </c:extLst>
        </c:ser>
        <c:ser>
          <c:idx val="2"/>
          <c:order val="2"/>
          <c:tx>
            <c:strRef>
              <c:f>'表5.2'!$J$33</c:f>
              <c:strCache>
                <c:ptCount val="1"/>
                <c:pt idx="0">
                  <c:v>较难</c:v>
                </c:pt>
              </c:strCache>
            </c:strRef>
          </c:tx>
          <c:spPr>
            <a:solidFill>
              <a:schemeClr val="accent3">
                <a:tint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'表5.2'!$K$30:$O$30</c:f>
              <c:strCache>
                <c:ptCount val="5"/>
                <c:pt idx="0">
                  <c:v>MemFinRobot</c:v>
                </c:pt>
                <c:pt idx="1">
                  <c:v>mem0</c:v>
                </c:pt>
                <c:pt idx="2">
                  <c:v>LLM</c:v>
                </c:pt>
                <c:pt idx="3">
                  <c:v>FinRobot</c:v>
                </c:pt>
                <c:pt idx="4">
                  <c:v>LangMem</c:v>
                </c:pt>
              </c:strCache>
            </c:strRef>
          </c:cat>
          <c:val>
            <c:numRef>
              <c:f>'表5.2'!$K$33:$O$33</c:f>
              <c:numCache>
                <c:formatCode>0.00</c:formatCode>
                <c:ptCount val="5"/>
                <c:pt idx="0">
                  <c:v>4.9134000000000002</c:v>
                </c:pt>
                <c:pt idx="1">
                  <c:v>4.7788000000000004</c:v>
                </c:pt>
                <c:pt idx="2">
                  <c:v>4.5608000000000004</c:v>
                </c:pt>
                <c:pt idx="3">
                  <c:v>4.6185999999999998</c:v>
                </c:pt>
                <c:pt idx="4">
                  <c:v>4.5397999999999996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CC8-5D44-BEB9-D4D3CE5CF5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5189696"/>
        <c:axId val="385191424"/>
      </c:barChart>
      <c:catAx>
        <c:axId val="385189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85191424"/>
        <c:crosses val="autoZero"/>
        <c:auto val="1"/>
        <c:lblAlgn val="ctr"/>
        <c:lblOffset val="100"/>
        <c:noMultiLvlLbl val="0"/>
      </c:catAx>
      <c:valAx>
        <c:axId val="385191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baseline="0"/>
                  <a:t>决策辅助可解释度</a:t>
                </a:r>
                <a:endParaRPr lang="en-US" altLang="zh-CN" baseline="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85189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'4.4'!$B$1</c:f>
              <c:strCache>
                <c:ptCount val="1"/>
                <c:pt idx="0">
                  <c:v>占比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'4.4'!$A$2:$A$4</c:f>
              <c:strCache>
                <c:ptCount val="3"/>
                <c:pt idx="0">
                  <c:v>信息截断</c:v>
                </c:pt>
                <c:pt idx="1">
                  <c:v>信息噪声</c:v>
                </c:pt>
                <c:pt idx="2">
                  <c:v>非显式语义关联</c:v>
                </c:pt>
              </c:strCache>
            </c:strRef>
          </c:cat>
          <c:val>
            <c:numRef>
              <c:f>'4.4'!$B$2:$B$4</c:f>
              <c:numCache>
                <c:formatCode>General</c:formatCode>
                <c:ptCount val="3"/>
                <c:pt idx="0">
                  <c:v>0.32</c:v>
                </c:pt>
                <c:pt idx="1">
                  <c:v>0.44</c:v>
                </c:pt>
                <c:pt idx="2">
                  <c:v>0.44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F0-47F8-9B2D-0ADBC17C8E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809072"/>
        <c:axId val="154817232"/>
      </c:barChart>
      <c:catAx>
        <c:axId val="154809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4817232"/>
        <c:crosses val="autoZero"/>
        <c:auto val="1"/>
        <c:lblAlgn val="ctr"/>
        <c:lblOffset val="100"/>
        <c:noMultiLvlLbl val="0"/>
      </c:catAx>
      <c:valAx>
        <c:axId val="154817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4809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'5.2'!$B$1</c:f>
              <c:strCache>
                <c:ptCount val="1"/>
                <c:pt idx="0">
                  <c:v>样本数</c:v>
                </c:pt>
              </c:strCache>
            </c:strRef>
          </c:tx>
          <c:dPt>
            <c:idx val="0"/>
            <c:bubble3D val="0"/>
            <c:spPr>
              <a:solidFill>
                <a:schemeClr val="dk1">
                  <a:tint val="885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275E-2C45-9F50-175205D86E03}"/>
              </c:ext>
            </c:extLst>
          </c:dPt>
          <c:dPt>
            <c:idx val="1"/>
            <c:bubble3D val="0"/>
            <c:spPr>
              <a:solidFill>
                <a:schemeClr val="dk1">
                  <a:tint val="5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dk1">
                  <a:tint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dk1">
                  <a:tint val="985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75E-2C45-9F50-175205D86E03}"/>
              </c:ext>
            </c:extLst>
          </c:dPt>
          <c:dPt>
            <c:idx val="4"/>
            <c:bubble3D val="0"/>
            <c:spPr>
              <a:solidFill>
                <a:schemeClr val="dk1">
                  <a:tint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dk1">
                  <a:tint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dk1">
                  <a:tint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6.2271088551288717E-3"/>
                  <c:y val="6.3740923435154265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75E-2C45-9F50-175205D86E03}"/>
                </c:ext>
              </c:extLst>
            </c:dLbl>
            <c:dLbl>
              <c:idx val="3"/>
              <c:layout>
                <c:manualLayout>
                  <c:x val="1.958414793822754E-2"/>
                  <c:y val="-1.6601917950917613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75E-2C45-9F50-175205D86E0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'5.2'!$A$2:$A$8</c:f>
              <c:strCache>
                <c:ptCount val="7"/>
                <c:pt idx="0">
                  <c:v>投资教育</c:v>
                </c:pt>
                <c:pt idx="1">
                  <c:v>风险识别</c:v>
                </c:pt>
                <c:pt idx="2">
                  <c:v>财务分析</c:v>
                </c:pt>
                <c:pt idx="3">
                  <c:v>产品比较</c:v>
                </c:pt>
                <c:pt idx="4">
                  <c:v>宏观分析</c:v>
                </c:pt>
                <c:pt idx="5">
                  <c:v>行业分析</c:v>
                </c:pt>
                <c:pt idx="6">
                  <c:v>行情解读</c:v>
                </c:pt>
              </c:strCache>
            </c:strRef>
          </c:cat>
          <c:val>
            <c:numRef>
              <c:f>'5.2'!$B$2:$B$8</c:f>
              <c:numCache>
                <c:formatCode>General</c:formatCode>
                <c:ptCount val="7"/>
                <c:pt idx="0">
                  <c:v>13</c:v>
                </c:pt>
                <c:pt idx="1">
                  <c:v>13</c:v>
                </c:pt>
                <c:pt idx="2">
                  <c:v>13</c:v>
                </c:pt>
                <c:pt idx="3">
                  <c:v>12</c:v>
                </c:pt>
                <c:pt idx="4">
                  <c:v>9</c:v>
                </c:pt>
                <c:pt idx="5">
                  <c:v>3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5E-2C45-9F50-175205D86E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'5.2'!$F$1</c:f>
              <c:strCache>
                <c:ptCount val="1"/>
                <c:pt idx="0">
                  <c:v>样本数</c:v>
                </c:pt>
              </c:strCache>
            </c:strRef>
          </c:tx>
          <c:dPt>
            <c:idx val="0"/>
            <c:bubble3D val="0"/>
            <c:spPr>
              <a:solidFill>
                <a:schemeClr val="dk1">
                  <a:tint val="885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1D9-5C40-9423-A5C1DAE36C58}"/>
              </c:ext>
            </c:extLst>
          </c:dPt>
          <c:dPt>
            <c:idx val="1"/>
            <c:bubble3D val="0"/>
            <c:spPr>
              <a:solidFill>
                <a:schemeClr val="dk1">
                  <a:tint val="5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1D9-5C40-9423-A5C1DAE36C58}"/>
              </c:ext>
            </c:extLst>
          </c:dPt>
          <c:dPt>
            <c:idx val="2"/>
            <c:bubble3D val="0"/>
            <c:spPr>
              <a:solidFill>
                <a:schemeClr val="dk1">
                  <a:tint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91D9-5C40-9423-A5C1DAE36C58}"/>
              </c:ext>
            </c:extLst>
          </c:dPt>
          <c:dLbls>
            <c:dLbl>
              <c:idx val="0"/>
              <c:layout>
                <c:manualLayout>
                  <c:x val="-3.9566929133858268E-4"/>
                  <c:y val="3.5243511227763197E-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1D9-5C40-9423-A5C1DAE36C58}"/>
                </c:ext>
              </c:extLst>
            </c:dLbl>
            <c:dLbl>
              <c:idx val="1"/>
              <c:layout>
                <c:manualLayout>
                  <c:x val="1.0376968503936957E-2"/>
                  <c:y val="1.7089530475357247E-3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1D9-5C40-9423-A5C1DAE36C58}"/>
                </c:ext>
              </c:extLst>
            </c:dLbl>
            <c:dLbl>
              <c:idx val="2"/>
              <c:layout>
                <c:manualLayout>
                  <c:x val="7.626421697287839E-3"/>
                  <c:y val="3.4191455234762323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1D9-5C40-9423-A5C1DAE36C5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eparator>,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'5.2'!$E$2:$E$4</c:f>
              <c:strCache>
                <c:ptCount val="3"/>
                <c:pt idx="0">
                  <c:v>简单</c:v>
                </c:pt>
                <c:pt idx="1">
                  <c:v>中等</c:v>
                </c:pt>
                <c:pt idx="2">
                  <c:v>较难</c:v>
                </c:pt>
              </c:strCache>
            </c:strRef>
          </c:cat>
          <c:val>
            <c:numRef>
              <c:f>'5.2'!$F$2:$F$4</c:f>
              <c:numCache>
                <c:formatCode>General</c:formatCode>
                <c:ptCount val="3"/>
                <c:pt idx="0">
                  <c:v>22</c:v>
                </c:pt>
                <c:pt idx="1">
                  <c:v>22</c:v>
                </c:pt>
                <c:pt idx="2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D9-5C40-9423-A5C1DAE36C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'图5.5 5.6'!$B$1</c:f>
              <c:strCache>
                <c:ptCount val="1"/>
                <c:pt idx="0">
                  <c:v>Recall@5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10"/>
            <c:invertIfNegative val="0"/>
            <c:bubble3D val="0"/>
            <c:spPr>
              <a:solidFill>
                <a:schemeClr val="tx1">
                  <a:lumMod val="65000"/>
                  <a:lumOff val="3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72A-FC4D-851C-6B5CA8A7100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'图5.5 5.6'!$A$2:$A$12</c:f>
              <c:strCache>
                <c:ptCount val="11"/>
                <c:pt idx="0">
                  <c:v>None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本文方法</c:v>
                </c:pt>
              </c:strCache>
            </c:strRef>
          </c:cat>
          <c:val>
            <c:numRef>
              <c:f>'图5.5 5.6'!$B$2:$B$12</c:f>
              <c:numCache>
                <c:formatCode>0.00</c:formatCode>
                <c:ptCount val="11"/>
                <c:pt idx="0">
                  <c:v>0.57999999999999996</c:v>
                </c:pt>
                <c:pt idx="1">
                  <c:v>0.6069</c:v>
                </c:pt>
                <c:pt idx="2">
                  <c:v>0.59030000000000005</c:v>
                </c:pt>
                <c:pt idx="3">
                  <c:v>0.48099999999999998</c:v>
                </c:pt>
                <c:pt idx="4">
                  <c:v>0.50060000000000004</c:v>
                </c:pt>
                <c:pt idx="5">
                  <c:v>0.31919999999999998</c:v>
                </c:pt>
                <c:pt idx="6">
                  <c:v>0.317</c:v>
                </c:pt>
                <c:pt idx="7">
                  <c:v>0.19819999999999999</c:v>
                </c:pt>
                <c:pt idx="8">
                  <c:v>0.1119</c:v>
                </c:pt>
                <c:pt idx="9">
                  <c:v>0.12859999999999999</c:v>
                </c:pt>
                <c:pt idx="10">
                  <c:v>0.68240000000000001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2A-FC4D-851C-6B5CA8A710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538192"/>
        <c:axId val="17332656"/>
      </c:barChart>
      <c:catAx>
        <c:axId val="175381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窗口大小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+mn-cs"/>
              </a:defRPr>
            </a:pPr>
            <a:endParaRPr lang="zh-CN"/>
          </a:p>
        </c:txPr>
        <c:crossAx val="17332656"/>
        <c:crosses val="autoZero"/>
        <c:auto val="1"/>
        <c:lblAlgn val="ctr"/>
        <c:lblOffset val="100"/>
        <c:noMultiLvlLbl val="0"/>
      </c:catAx>
      <c:valAx>
        <c:axId val="17332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Recall@5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538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'图5.5 5.6'!$E$1</c:f>
              <c:strCache>
                <c:ptCount val="1"/>
                <c:pt idx="0">
                  <c:v>固定窗口方法</c:v>
                </c:pt>
              </c:strCache>
            </c:strRef>
          </c:tx>
          <c:spPr>
            <a:solidFill>
              <a:schemeClr val="accent3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'图5.5 5.6'!$D$2:$D$11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'图5.5 5.6'!$E$2:$E$11</c:f>
              <c:numCache>
                <c:formatCode>0.00</c:formatCode>
                <c:ptCount val="10"/>
                <c:pt idx="0">
                  <c:v>0.63680000000000003</c:v>
                </c:pt>
                <c:pt idx="1">
                  <c:v>0.6</c:v>
                </c:pt>
                <c:pt idx="2">
                  <c:v>0.67110000000000003</c:v>
                </c:pt>
                <c:pt idx="3">
                  <c:v>0.54379999999999995</c:v>
                </c:pt>
                <c:pt idx="4">
                  <c:v>0.72660000000000002</c:v>
                </c:pt>
                <c:pt idx="5">
                  <c:v>0.60260000000000002</c:v>
                </c:pt>
                <c:pt idx="6">
                  <c:v>0.7238</c:v>
                </c:pt>
                <c:pt idx="7">
                  <c:v>0.72650000000000003</c:v>
                </c:pt>
                <c:pt idx="8">
                  <c:v>0.52680000000000005</c:v>
                </c:pt>
                <c:pt idx="9">
                  <c:v>0.62609999999999999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65-C54D-B94E-7EB7A24DD53D}"/>
            </c:ext>
          </c:extLst>
        </c:ser>
        <c:ser>
          <c:idx val="1"/>
          <c:order val="1"/>
          <c:tx>
            <c:strRef>
              <c:f>'图5.5 5.6'!$F$1</c:f>
              <c:strCache>
                <c:ptCount val="1"/>
                <c:pt idx="0">
                  <c:v>本文方法</c:v>
                </c:pt>
              </c:strCache>
            </c:strRef>
          </c:tx>
          <c:spPr>
            <a:solidFill>
              <a:schemeClr val="accent3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'图5.5 5.6'!$D$2:$D$11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cat>
          <c:val>
            <c:numRef>
              <c:f>'图5.5 5.6'!$F$2:$F$11</c:f>
              <c:numCache>
                <c:formatCode>0.00</c:formatCode>
                <c:ptCount val="10"/>
                <c:pt idx="0">
                  <c:v>0.6179</c:v>
                </c:pt>
                <c:pt idx="1">
                  <c:v>0.63</c:v>
                </c:pt>
                <c:pt idx="2">
                  <c:v>0.71928999999999998</c:v>
                </c:pt>
                <c:pt idx="3">
                  <c:v>0.61677999999999999</c:v>
                </c:pt>
                <c:pt idx="4">
                  <c:v>0.73828000000000005</c:v>
                </c:pt>
                <c:pt idx="5">
                  <c:v>0.69230000000000003</c:v>
                </c:pt>
                <c:pt idx="6">
                  <c:v>0.75238000000000005</c:v>
                </c:pt>
                <c:pt idx="7">
                  <c:v>0.66015599999999997</c:v>
                </c:pt>
                <c:pt idx="8">
                  <c:v>0.66659999999999997</c:v>
                </c:pt>
                <c:pt idx="9">
                  <c:v>0.70093399999999995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65-C54D-B94E-7EB7A24DD5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4016000"/>
        <c:axId val="514018272"/>
      </c:barChart>
      <c:catAx>
        <c:axId val="514016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14018272"/>
        <c:crosses val="autoZero"/>
        <c:auto val="1"/>
        <c:lblAlgn val="ctr"/>
        <c:lblOffset val="100"/>
        <c:noMultiLvlLbl val="0"/>
      </c:catAx>
      <c:valAx>
        <c:axId val="514018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sz="1200" baseline="0"/>
                  <a:t>Recall@5</a:t>
                </a:r>
                <a:endParaRPr lang="zh-CN" altLang="en-US" sz="1200" baseline="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14016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'图5.7'!$B$1</c:f>
              <c:strCache>
                <c:ptCount val="1"/>
                <c:pt idx="0">
                  <c:v>Recall@5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'图5.7'!$A$2:$A$5</c:f>
              <c:strCache>
                <c:ptCount val="4"/>
                <c:pt idx="0">
                  <c:v>本文方法</c:v>
                </c:pt>
                <c:pt idx="1">
                  <c:v>                    本文方法 
+不设置窗口精炼器 
</c:v>
                </c:pt>
                <c:pt idx="2">
                  <c:v>                            本文方法 
      + 不设置窗口精炼器 
+不设置动态窗口选择器</c:v>
                </c:pt>
                <c:pt idx="3">
                  <c:v>固定窗口方法</c:v>
                </c:pt>
              </c:strCache>
            </c:strRef>
          </c:cat>
          <c:val>
            <c:numRef>
              <c:f>'图5.7'!$B$2:$B$5</c:f>
              <c:numCache>
                <c:formatCode>General</c:formatCode>
                <c:ptCount val="4"/>
                <c:pt idx="0">
                  <c:v>0.68</c:v>
                </c:pt>
                <c:pt idx="1">
                  <c:v>0.67</c:v>
                </c:pt>
                <c:pt idx="2">
                  <c:v>0.66</c:v>
                </c:pt>
                <c:pt idx="3">
                  <c:v>0.61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93-D74F-9555-1BCE0DE1C0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88833952"/>
        <c:axId val="1888729680"/>
      </c:barChart>
      <c:catAx>
        <c:axId val="188883395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88729680"/>
        <c:crosses val="autoZero"/>
        <c:auto val="1"/>
        <c:lblAlgn val="ctr"/>
        <c:lblOffset val="100"/>
        <c:noMultiLvlLbl val="0"/>
      </c:catAx>
      <c:valAx>
        <c:axId val="1888729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Recall@5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88833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5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6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7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8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9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0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13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14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15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16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17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0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4" Type="http://schemas.openxmlformats.org/officeDocument/2006/relationships/chart" Target="../charts/chart1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229153</xdr:colOff>
      <xdr:row>86</xdr:row>
      <xdr:rowOff>114986</xdr:rowOff>
    </xdr:from>
    <xdr:to>
      <xdr:col>28</xdr:col>
      <xdr:colOff>592972</xdr:colOff>
      <xdr:row>114</xdr:row>
      <xdr:rowOff>114986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8F357347-B707-F73C-01C1-9029DA8F91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31</xdr:col>
      <xdr:colOff>306074</xdr:colOff>
      <xdr:row>39</xdr:row>
      <xdr:rowOff>750</xdr:rowOff>
    </xdr:from>
    <xdr:to>
      <xdr:col>42</xdr:col>
      <xdr:colOff>41402</xdr:colOff>
      <xdr:row>67</xdr:row>
      <xdr:rowOff>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662131FB-F360-729B-A62B-05AA89C9B8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373622</xdr:colOff>
      <xdr:row>38</xdr:row>
      <xdr:rowOff>139863</xdr:rowOff>
    </xdr:from>
    <xdr:to>
      <xdr:col>13</xdr:col>
      <xdr:colOff>828904</xdr:colOff>
      <xdr:row>63</xdr:row>
      <xdr:rowOff>90488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F10B6C92-A411-7103-7FF8-1A2EB0EFAB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584867</xdr:colOff>
      <xdr:row>65</xdr:row>
      <xdr:rowOff>165767</xdr:rowOff>
    </xdr:from>
    <xdr:to>
      <xdr:col>11</xdr:col>
      <xdr:colOff>626643</xdr:colOff>
      <xdr:row>93</xdr:row>
      <xdr:rowOff>125329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AF6962F9-B405-6E13-7364-9131868EDA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151293</xdr:colOff>
      <xdr:row>10</xdr:row>
      <xdr:rowOff>120285</xdr:rowOff>
    </xdr:from>
    <xdr:to>
      <xdr:col>31</xdr:col>
      <xdr:colOff>532215</xdr:colOff>
      <xdr:row>35</xdr:row>
      <xdr:rowOff>25066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86C4F5ED-711E-5A00-48C8-4076044304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74360</xdr:colOff>
      <xdr:row>13</xdr:row>
      <xdr:rowOff>174122</xdr:rowOff>
    </xdr:from>
    <xdr:to>
      <xdr:col>13</xdr:col>
      <xdr:colOff>1027697</xdr:colOff>
      <xdr:row>33</xdr:row>
      <xdr:rowOff>83553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534041A1-86B7-3946-FBD6-E58E035F4C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550611</xdr:colOff>
      <xdr:row>14</xdr:row>
      <xdr:rowOff>32084</xdr:rowOff>
    </xdr:from>
    <xdr:to>
      <xdr:col>7</xdr:col>
      <xdr:colOff>409408</xdr:colOff>
      <xdr:row>33</xdr:row>
      <xdr:rowOff>75198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AF423FA2-C59F-223D-B577-59F9418D82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33</xdr:col>
      <xdr:colOff>640088</xdr:colOff>
      <xdr:row>16</xdr:row>
      <xdr:rowOff>121461</xdr:rowOff>
    </xdr:from>
    <xdr:to>
      <xdr:col>46</xdr:col>
      <xdr:colOff>596103</xdr:colOff>
      <xdr:row>43</xdr:row>
      <xdr:rowOff>57705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87F35B9F-0767-41F0-242F-F6B616D8B5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49</xdr:col>
      <xdr:colOff>456542</xdr:colOff>
      <xdr:row>0</xdr:row>
      <xdr:rowOff>878270</xdr:rowOff>
    </xdr:from>
    <xdr:to>
      <xdr:col>61</xdr:col>
      <xdr:colOff>426983</xdr:colOff>
      <xdr:row>15</xdr:row>
      <xdr:rowOff>65690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FE5A493E-EB1E-C65E-F9F9-370879EF0B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49</xdr:col>
      <xdr:colOff>408142</xdr:colOff>
      <xdr:row>15</xdr:row>
      <xdr:rowOff>36664</xdr:rowOff>
    </xdr:from>
    <xdr:to>
      <xdr:col>64</xdr:col>
      <xdr:colOff>327173</xdr:colOff>
      <xdr:row>40</xdr:row>
      <xdr:rowOff>46085</xdr:rowOff>
    </xdr:to>
    <xdr:graphicFrame macro="">
      <xdr:nvGraphicFramePr>
        <xdr:cNvPr id="11" name="图表 10">
          <a:extLst>
            <a:ext uri="{FF2B5EF4-FFF2-40B4-BE49-F238E27FC236}">
              <a16:creationId xmlns:a16="http://schemas.microsoft.com/office/drawing/2014/main" id="{F492C868-72D2-7988-2C91-0D91643E50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64</xdr:col>
      <xdr:colOff>553251</xdr:colOff>
      <xdr:row>8</xdr:row>
      <xdr:rowOff>197653</xdr:rowOff>
    </xdr:from>
    <xdr:to>
      <xdr:col>66</xdr:col>
      <xdr:colOff>211666</xdr:colOff>
      <xdr:row>28</xdr:row>
      <xdr:rowOff>124080</xdr:rowOff>
    </xdr:to>
    <xdr:graphicFrame macro="">
      <xdr:nvGraphicFramePr>
        <xdr:cNvPr id="12" name="图表 11">
          <a:extLst>
            <a:ext uri="{FF2B5EF4-FFF2-40B4-BE49-F238E27FC236}">
              <a16:creationId xmlns:a16="http://schemas.microsoft.com/office/drawing/2014/main" id="{8F43AF12-E523-4381-46DC-5F0BC99A96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685800</xdr:colOff>
      <xdr:row>7</xdr:row>
      <xdr:rowOff>25400</xdr:rowOff>
    </xdr:from>
    <xdr:to>
      <xdr:col>8</xdr:col>
      <xdr:colOff>317500</xdr:colOff>
      <xdr:row>27</xdr:row>
      <xdr:rowOff>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DE5EAB43-55C7-5825-9E0D-DCEC38776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660400</xdr:colOff>
      <xdr:row>7</xdr:row>
      <xdr:rowOff>25400</xdr:rowOff>
    </xdr:from>
    <xdr:to>
      <xdr:col>16</xdr:col>
      <xdr:colOff>431800</xdr:colOff>
      <xdr:row>26</xdr:row>
      <xdr:rowOff>165100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BFFE4C56-A35E-F5FD-E3BF-507805CA3B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787400</xdr:colOff>
      <xdr:row>38</xdr:row>
      <xdr:rowOff>114300</xdr:rowOff>
    </xdr:from>
    <xdr:to>
      <xdr:col>7</xdr:col>
      <xdr:colOff>812800</xdr:colOff>
      <xdr:row>64</xdr:row>
      <xdr:rowOff>50800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B099C1BD-C06F-E687-6F84-61EAF30EAC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736600</xdr:colOff>
      <xdr:row>37</xdr:row>
      <xdr:rowOff>152400</xdr:rowOff>
    </xdr:from>
    <xdr:to>
      <xdr:col>16</xdr:col>
      <xdr:colOff>381000</xdr:colOff>
      <xdr:row>58</xdr:row>
      <xdr:rowOff>50800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74805318-67F0-6EFB-9F4C-A39A263AAC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228599</xdr:colOff>
      <xdr:row>3</xdr:row>
      <xdr:rowOff>174171</xdr:rowOff>
    </xdr:from>
    <xdr:to>
      <xdr:col>9</xdr:col>
      <xdr:colOff>620485</xdr:colOff>
      <xdr:row>19</xdr:row>
      <xdr:rowOff>43543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6B106F82-17CA-C3EB-7673-B62EB52EFA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749300</xdr:colOff>
      <xdr:row>6</xdr:row>
      <xdr:rowOff>139700</xdr:rowOff>
    </xdr:from>
    <xdr:to>
      <xdr:col>9</xdr:col>
      <xdr:colOff>292100</xdr:colOff>
      <xdr:row>24</xdr:row>
      <xdr:rowOff>165100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55932B03-1E28-F62D-41AA-D0012B397F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558800</xdr:colOff>
      <xdr:row>3</xdr:row>
      <xdr:rowOff>158750</xdr:rowOff>
    </xdr:from>
    <xdr:to>
      <xdr:col>12</xdr:col>
      <xdr:colOff>673100</xdr:colOff>
      <xdr:row>20</xdr:row>
      <xdr:rowOff>114300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7794AABF-0CB8-DCB4-66A6-DD5318471B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14</xdr:row>
      <xdr:rowOff>165100</xdr:rowOff>
    </xdr:from>
    <xdr:to>
      <xdr:col>8</xdr:col>
      <xdr:colOff>736600</xdr:colOff>
      <xdr:row>34</xdr:row>
      <xdr:rowOff>114300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A34B6D63-9D88-1BB6-3E1F-22901F3AC0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609600</xdr:colOff>
      <xdr:row>2</xdr:row>
      <xdr:rowOff>184150</xdr:rowOff>
    </xdr:from>
    <xdr:to>
      <xdr:col>15</xdr:col>
      <xdr:colOff>101600</xdr:colOff>
      <xdr:row>15</xdr:row>
      <xdr:rowOff>152400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97558AC3-E600-F433-B298-9548DA3891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12700</xdr:colOff>
      <xdr:row>2</xdr:row>
      <xdr:rowOff>63500</xdr:rowOff>
    </xdr:from>
    <xdr:to>
      <xdr:col>10</xdr:col>
      <xdr:colOff>368300</xdr:colOff>
      <xdr:row>12</xdr:row>
      <xdr:rowOff>38100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D35C1572-D7A5-7590-94FB-CD55535B57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R@5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00EF8-6542-44BA-86AF-41C612561BA0}">
  <dimension ref="A1:BN19"/>
  <sheetViews>
    <sheetView topLeftCell="V17" zoomScale="44" zoomScaleNormal="55" workbookViewId="0">
      <selection activeCell="BM1" sqref="BM1:BN5"/>
    </sheetView>
  </sheetViews>
  <sheetFormatPr baseColWidth="10" defaultColWidth="8.83203125" defaultRowHeight="15"/>
  <cols>
    <col min="1" max="1" width="8" bestFit="1" customWidth="1"/>
    <col min="2" max="2" width="16.33203125" customWidth="1"/>
    <col min="3" max="3" width="11.5" bestFit="1" customWidth="1"/>
    <col min="7" max="7" width="11.5" customWidth="1"/>
    <col min="9" max="9" width="13.5" customWidth="1"/>
    <col min="10" max="10" width="15" customWidth="1"/>
    <col min="13" max="13" width="19" customWidth="1"/>
    <col min="14" max="14" width="20" customWidth="1"/>
    <col min="20" max="21" width="9" bestFit="1" customWidth="1"/>
    <col min="25" max="25" width="32" bestFit="1" customWidth="1"/>
    <col min="26" max="26" width="9" bestFit="1" customWidth="1"/>
    <col min="28" max="28" width="19.6640625" bestFit="1" customWidth="1"/>
    <col min="29" max="29" width="9" bestFit="1" customWidth="1"/>
    <col min="34" max="34" width="9" bestFit="1" customWidth="1"/>
    <col min="35" max="35" width="14.5" bestFit="1" customWidth="1"/>
    <col min="36" max="36" width="19.6640625" bestFit="1" customWidth="1"/>
    <col min="37" max="38" width="8.83203125" bestFit="1" customWidth="1"/>
    <col min="46" max="47" width="8.83203125" bestFit="1" customWidth="1"/>
    <col min="61" max="61" width="8.1640625" customWidth="1"/>
    <col min="62" max="64" width="8.6640625" hidden="1" customWidth="1"/>
    <col min="65" max="65" width="52.1640625" customWidth="1"/>
    <col min="66" max="66" width="41.1640625" customWidth="1"/>
  </cols>
  <sheetData>
    <row r="1" spans="1:66" ht="96" thickBot="1">
      <c r="A1" s="7" t="s">
        <v>0</v>
      </c>
      <c r="B1" s="7" t="s">
        <v>22</v>
      </c>
      <c r="C1" s="7" t="s">
        <v>6</v>
      </c>
      <c r="F1" s="8" t="s">
        <v>0</v>
      </c>
      <c r="G1" s="8" t="s">
        <v>1</v>
      </c>
      <c r="I1" s="8" t="s">
        <v>3</v>
      </c>
      <c r="J1" s="8" t="s">
        <v>2</v>
      </c>
      <c r="M1" s="9" t="s">
        <v>4</v>
      </c>
      <c r="N1" s="9" t="s">
        <v>5</v>
      </c>
      <c r="T1" s="9" t="s">
        <v>4</v>
      </c>
      <c r="U1" s="20" t="s">
        <v>7</v>
      </c>
      <c r="Y1" t="s">
        <v>8</v>
      </c>
      <c r="Z1" t="s">
        <v>11</v>
      </c>
      <c r="AB1" t="s">
        <v>12</v>
      </c>
      <c r="AC1" t="s">
        <v>2</v>
      </c>
      <c r="AH1" s="7" t="s">
        <v>0</v>
      </c>
      <c r="AI1" s="7" t="s">
        <v>22</v>
      </c>
      <c r="AJ1" s="7" t="s">
        <v>28</v>
      </c>
      <c r="AK1" s="8" t="s">
        <v>24</v>
      </c>
      <c r="AT1" t="s">
        <v>25</v>
      </c>
      <c r="AU1" t="s">
        <v>11</v>
      </c>
      <c r="BM1" s="21" t="s">
        <v>26</v>
      </c>
      <c r="BN1" s="21" t="s">
        <v>5</v>
      </c>
    </row>
    <row r="2" spans="1:66" ht="26" thickTop="1" thickBot="1">
      <c r="A2" s="1">
        <v>0</v>
      </c>
      <c r="B2" s="2">
        <v>0.63680000000000003</v>
      </c>
      <c r="C2" s="2">
        <v>0.6179</v>
      </c>
      <c r="F2" s="1">
        <v>0</v>
      </c>
      <c r="G2">
        <v>2</v>
      </c>
      <c r="I2" t="s">
        <v>18</v>
      </c>
      <c r="J2">
        <v>4</v>
      </c>
      <c r="M2" s="10" t="s">
        <v>21</v>
      </c>
      <c r="N2" s="14">
        <v>0.57999999999999996</v>
      </c>
      <c r="T2" s="10">
        <v>0</v>
      </c>
      <c r="U2" s="14">
        <v>0.57999999999999996</v>
      </c>
      <c r="Y2" t="s">
        <v>9</v>
      </c>
      <c r="Z2">
        <v>0.32</v>
      </c>
      <c r="AB2" t="s">
        <v>13</v>
      </c>
      <c r="AC2">
        <v>266</v>
      </c>
      <c r="AH2" s="1">
        <v>0</v>
      </c>
      <c r="AI2" s="2">
        <v>0.63680000000000003</v>
      </c>
      <c r="AJ2" s="2">
        <v>0.6179</v>
      </c>
      <c r="AK2">
        <v>0.60840000000000005</v>
      </c>
      <c r="AL2">
        <v>0.68859999999999999</v>
      </c>
      <c r="AT2">
        <v>1</v>
      </c>
      <c r="AU2">
        <v>0.62649999999999995</v>
      </c>
      <c r="BM2" s="26" t="s">
        <v>28</v>
      </c>
      <c r="BN2" s="22">
        <v>0.68</v>
      </c>
    </row>
    <row r="3" spans="1:66" ht="73" thickBot="1">
      <c r="A3" s="3">
        <v>1</v>
      </c>
      <c r="B3" s="4">
        <v>0.6</v>
      </c>
      <c r="C3" s="4">
        <v>0.63</v>
      </c>
      <c r="F3" s="3">
        <v>1</v>
      </c>
      <c r="G3">
        <v>1</v>
      </c>
      <c r="I3" t="s">
        <v>19</v>
      </c>
      <c r="J3">
        <v>2</v>
      </c>
      <c r="M3" s="11">
        <v>1</v>
      </c>
      <c r="N3" s="15">
        <v>0.6069</v>
      </c>
      <c r="T3" s="11">
        <v>1</v>
      </c>
      <c r="U3" s="15">
        <v>0.6069</v>
      </c>
      <c r="Y3" t="s">
        <v>23</v>
      </c>
      <c r="Z3">
        <v>0.44</v>
      </c>
      <c r="AB3" t="s">
        <v>14</v>
      </c>
      <c r="AC3">
        <v>1094</v>
      </c>
      <c r="AH3" s="3">
        <v>1</v>
      </c>
      <c r="AI3" s="4">
        <v>0.6</v>
      </c>
      <c r="AJ3" s="4">
        <v>0.63</v>
      </c>
      <c r="AK3">
        <v>0.61</v>
      </c>
      <c r="AL3">
        <v>0.61</v>
      </c>
      <c r="AT3">
        <v>0.8</v>
      </c>
      <c r="AU3">
        <v>0.16270000000000001</v>
      </c>
      <c r="BM3" s="27" t="s">
        <v>29</v>
      </c>
      <c r="BN3" s="23">
        <v>0.67</v>
      </c>
    </row>
    <row r="4" spans="1:66" ht="73" thickBot="1">
      <c r="A4" s="5">
        <v>2</v>
      </c>
      <c r="B4" s="6">
        <v>0.67110000000000003</v>
      </c>
      <c r="C4" s="6">
        <v>0.65790000000000004</v>
      </c>
      <c r="F4" s="5">
        <v>2</v>
      </c>
      <c r="G4">
        <v>0</v>
      </c>
      <c r="I4" t="s">
        <v>20</v>
      </c>
      <c r="J4">
        <v>4</v>
      </c>
      <c r="M4" s="12">
        <v>2</v>
      </c>
      <c r="N4" s="16">
        <v>0.59030000000000005</v>
      </c>
      <c r="T4" s="12">
        <v>2</v>
      </c>
      <c r="U4" s="16">
        <v>0.59030000000000005</v>
      </c>
      <c r="Y4" t="s">
        <v>10</v>
      </c>
      <c r="Z4">
        <v>0.44</v>
      </c>
      <c r="AB4" t="s">
        <v>15</v>
      </c>
      <c r="AC4">
        <v>2466</v>
      </c>
      <c r="AH4" s="5">
        <v>2</v>
      </c>
      <c r="AI4" s="6">
        <v>0.67110000000000003</v>
      </c>
      <c r="AJ4" s="6">
        <v>0.71928999999999998</v>
      </c>
      <c r="AK4">
        <v>0.73680000000000001</v>
      </c>
      <c r="AT4">
        <v>0.6</v>
      </c>
      <c r="AU4">
        <v>0.1724</v>
      </c>
      <c r="BM4" s="28" t="s">
        <v>30</v>
      </c>
      <c r="BN4" s="24">
        <v>0.66</v>
      </c>
    </row>
    <row r="5" spans="1:66" ht="24" thickBot="1">
      <c r="A5" s="3">
        <v>3</v>
      </c>
      <c r="B5" s="4">
        <v>0.54379999999999995</v>
      </c>
      <c r="C5" s="4">
        <v>0.54010000000000002</v>
      </c>
      <c r="F5" s="3">
        <v>3</v>
      </c>
      <c r="G5">
        <v>0</v>
      </c>
      <c r="M5" s="11">
        <v>3</v>
      </c>
      <c r="N5" s="15">
        <v>0.48099999999999998</v>
      </c>
      <c r="T5" s="11">
        <v>3</v>
      </c>
      <c r="U5" s="15">
        <v>0.48099999999999998</v>
      </c>
      <c r="AB5" t="s">
        <v>16</v>
      </c>
      <c r="AC5">
        <v>1175</v>
      </c>
      <c r="AH5" s="3">
        <v>3</v>
      </c>
      <c r="AI5" s="4">
        <v>0.54379999999999995</v>
      </c>
      <c r="AJ5" s="4">
        <v>0.61677999999999999</v>
      </c>
      <c r="AK5">
        <v>0.58389999999999997</v>
      </c>
      <c r="AT5">
        <v>0.4</v>
      </c>
      <c r="AU5">
        <v>3.7100000000000001E-2</v>
      </c>
      <c r="BM5" s="25" t="s">
        <v>27</v>
      </c>
      <c r="BN5">
        <v>0.61</v>
      </c>
    </row>
    <row r="6" spans="1:66" ht="24" thickBot="1">
      <c r="A6" s="5">
        <v>4</v>
      </c>
      <c r="B6" s="6">
        <v>0.72660000000000002</v>
      </c>
      <c r="C6" s="6">
        <v>0.73070000000000002</v>
      </c>
      <c r="F6" s="5">
        <v>4</v>
      </c>
      <c r="G6">
        <v>2</v>
      </c>
      <c r="M6" s="12">
        <v>4</v>
      </c>
      <c r="N6" s="16">
        <v>0.50060000000000004</v>
      </c>
      <c r="T6" s="12">
        <v>4</v>
      </c>
      <c r="U6" s="16">
        <v>0.50060000000000004</v>
      </c>
      <c r="AB6" t="s">
        <v>17</v>
      </c>
      <c r="AC6">
        <f>SUM(AC7:AC18)</f>
        <v>881</v>
      </c>
      <c r="AH6" s="5">
        <v>4</v>
      </c>
      <c r="AI6" s="6">
        <v>0.72660000000000002</v>
      </c>
      <c r="AJ6" s="6">
        <v>0.73828000000000005</v>
      </c>
      <c r="AK6">
        <v>0.73819999999999997</v>
      </c>
      <c r="AT6">
        <v>0.2</v>
      </c>
      <c r="AU6">
        <v>1.4E-3</v>
      </c>
    </row>
    <row r="7" spans="1:66" ht="24" thickBot="1">
      <c r="A7" s="3">
        <v>5</v>
      </c>
      <c r="B7" s="4">
        <v>0.60260000000000002</v>
      </c>
      <c r="C7" s="4">
        <v>0.68589999999999995</v>
      </c>
      <c r="F7" s="3">
        <v>5</v>
      </c>
      <c r="G7">
        <v>0</v>
      </c>
      <c r="M7" s="11">
        <v>5</v>
      </c>
      <c r="N7" s="15">
        <v>0.31919999999999998</v>
      </c>
      <c r="T7" s="11">
        <v>5</v>
      </c>
      <c r="U7" s="15">
        <v>0.31919999999999998</v>
      </c>
      <c r="AB7">
        <v>4</v>
      </c>
      <c r="AC7">
        <v>373</v>
      </c>
      <c r="AH7" s="3">
        <v>5</v>
      </c>
      <c r="AI7" s="4">
        <v>0.60260000000000002</v>
      </c>
      <c r="AJ7" s="4">
        <v>0.69230000000000003</v>
      </c>
      <c r="AK7">
        <v>0.73070000000000002</v>
      </c>
    </row>
    <row r="8" spans="1:66" ht="24" thickBot="1">
      <c r="A8" s="5">
        <v>6</v>
      </c>
      <c r="B8" s="6">
        <v>0.7238</v>
      </c>
      <c r="C8" s="6">
        <v>0.64290000000000003</v>
      </c>
      <c r="F8" s="5">
        <v>6</v>
      </c>
      <c r="G8">
        <v>2</v>
      </c>
      <c r="M8" s="12">
        <v>6</v>
      </c>
      <c r="N8" s="16">
        <v>0.317</v>
      </c>
      <c r="T8" s="12">
        <v>6</v>
      </c>
      <c r="U8" s="16">
        <v>0.317</v>
      </c>
      <c r="AB8">
        <v>5</v>
      </c>
      <c r="AC8">
        <v>69</v>
      </c>
      <c r="AH8" s="5">
        <v>6</v>
      </c>
      <c r="AI8" s="6">
        <v>0.7238</v>
      </c>
      <c r="AJ8" s="6">
        <v>0.75238000000000005</v>
      </c>
      <c r="AK8">
        <v>0.7</v>
      </c>
    </row>
    <row r="9" spans="1:66" ht="24" thickBot="1">
      <c r="A9" s="3">
        <v>7</v>
      </c>
      <c r="B9" s="4">
        <v>0.72650000000000003</v>
      </c>
      <c r="C9" s="4">
        <v>0.55069999999999997</v>
      </c>
      <c r="F9" s="3">
        <v>7</v>
      </c>
      <c r="G9">
        <v>2</v>
      </c>
      <c r="M9" s="11">
        <v>7</v>
      </c>
      <c r="N9" s="15">
        <v>0.19819999999999999</v>
      </c>
      <c r="T9" s="18">
        <v>7</v>
      </c>
      <c r="U9">
        <v>0.17</v>
      </c>
      <c r="AB9">
        <v>6</v>
      </c>
      <c r="AC9">
        <v>100</v>
      </c>
      <c r="AH9" s="3">
        <v>7</v>
      </c>
      <c r="AI9" s="4">
        <v>0.72650000000000003</v>
      </c>
      <c r="AJ9" s="4">
        <v>0.66015599999999997</v>
      </c>
      <c r="AK9">
        <v>0.67179999999999995</v>
      </c>
    </row>
    <row r="10" spans="1:66" ht="24" thickBot="1">
      <c r="A10" s="5">
        <v>8</v>
      </c>
      <c r="B10" s="6">
        <v>0.52680000000000005</v>
      </c>
      <c r="C10" s="6">
        <v>0.64510000000000001</v>
      </c>
      <c r="F10" s="5">
        <v>8</v>
      </c>
      <c r="G10">
        <v>1</v>
      </c>
      <c r="M10" s="12">
        <v>8</v>
      </c>
      <c r="N10" s="16">
        <v>0.1119</v>
      </c>
      <c r="T10" s="11">
        <v>8</v>
      </c>
      <c r="U10" s="15">
        <v>0.19819999999999999</v>
      </c>
      <c r="AB10">
        <v>7</v>
      </c>
      <c r="AC10">
        <v>180</v>
      </c>
      <c r="AH10" s="5">
        <v>8</v>
      </c>
      <c r="AI10" s="6">
        <v>0.52680000000000005</v>
      </c>
      <c r="AJ10" s="6">
        <v>0.66659999999999997</v>
      </c>
      <c r="AK10">
        <v>0.66659999999999997</v>
      </c>
    </row>
    <row r="11" spans="1:66" ht="24" thickBot="1">
      <c r="A11" s="3">
        <v>9</v>
      </c>
      <c r="B11" s="4">
        <v>0.62609999999999999</v>
      </c>
      <c r="C11" s="4">
        <v>0.64480000000000004</v>
      </c>
      <c r="F11" s="3">
        <v>9</v>
      </c>
      <c r="G11">
        <v>0</v>
      </c>
      <c r="M11" s="11">
        <v>9</v>
      </c>
      <c r="N11" s="15">
        <v>0.12859999999999999</v>
      </c>
      <c r="T11" s="12">
        <v>9</v>
      </c>
      <c r="U11" s="16">
        <v>0.1119</v>
      </c>
      <c r="AC11">
        <v>21</v>
      </c>
      <c r="AH11" s="3">
        <v>9</v>
      </c>
      <c r="AI11" s="4">
        <v>0.62609999999999999</v>
      </c>
      <c r="AJ11" s="4">
        <v>0.70093399999999995</v>
      </c>
      <c r="AK11">
        <v>0.65880000000000005</v>
      </c>
    </row>
    <row r="12" spans="1:66" ht="20" thickBot="1">
      <c r="B12">
        <f>_xlfn.VAR.P(B2:B11)</f>
        <v>4.8217069000001085E-3</v>
      </c>
      <c r="C12">
        <f>_xlfn.VAR.P(C2:C11)</f>
        <v>2.8962480000000001E-3</v>
      </c>
      <c r="M12" s="13" t="s">
        <v>28</v>
      </c>
      <c r="N12" s="17">
        <v>0.68240000000000001</v>
      </c>
      <c r="T12" s="11">
        <v>10</v>
      </c>
      <c r="U12" s="15">
        <v>0.12859999999999999</v>
      </c>
      <c r="AC12">
        <v>30</v>
      </c>
      <c r="AI12">
        <f>_xlfn.STDEV.S(AI2:AI11)</f>
        <v>7.3194618047444385E-2</v>
      </c>
      <c r="AJ12">
        <f>_xlfn.STDEV.S(AJ2:AJ11)</f>
        <v>4.9094328199226177E-2</v>
      </c>
    </row>
    <row r="13" spans="1:66" ht="19" thickBot="1">
      <c r="T13" s="12">
        <v>11</v>
      </c>
      <c r="U13" s="16">
        <v>8.6400000000000005E-2</v>
      </c>
      <c r="AC13">
        <v>33</v>
      </c>
    </row>
    <row r="14" spans="1:66">
      <c r="T14">
        <v>12</v>
      </c>
      <c r="U14" s="19">
        <v>6.9000000000000006E-2</v>
      </c>
      <c r="AC14">
        <v>28</v>
      </c>
    </row>
    <row r="15" spans="1:66">
      <c r="T15">
        <v>13</v>
      </c>
      <c r="U15" s="19">
        <v>4.7500000000000001E-2</v>
      </c>
      <c r="AC15">
        <v>14</v>
      </c>
    </row>
    <row r="16" spans="1:66">
      <c r="T16">
        <v>14</v>
      </c>
      <c r="U16" s="19">
        <v>4.6800000000000001E-2</v>
      </c>
      <c r="AC16">
        <v>13</v>
      </c>
    </row>
    <row r="17" spans="20:29">
      <c r="T17">
        <v>15</v>
      </c>
      <c r="U17" s="19">
        <v>2.4899999999999999E-2</v>
      </c>
      <c r="AC17">
        <v>12</v>
      </c>
    </row>
    <row r="18" spans="20:29">
      <c r="AC18">
        <v>8</v>
      </c>
    </row>
    <row r="19" spans="20:29">
      <c r="AC19">
        <f>SUM(AC11:AC18)</f>
        <v>159</v>
      </c>
    </row>
  </sheetData>
  <phoneticPr fontId="2" type="noConversion"/>
  <hyperlinks>
    <hyperlink ref="U1" r:id="rId1" xr:uid="{DCB6A3E4-D5D4-4769-B8BF-0E6D64677BDE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127A6-D5B9-BC43-8EBA-B4A0A1021E9A}">
  <dimension ref="A1:J7"/>
  <sheetViews>
    <sheetView workbookViewId="0">
      <selection sqref="A1:J7"/>
    </sheetView>
  </sheetViews>
  <sheetFormatPr baseColWidth="10" defaultRowHeight="15"/>
  <cols>
    <col min="2" max="2" width="14.33203125" customWidth="1"/>
    <col min="3" max="3" width="12.83203125" customWidth="1"/>
    <col min="4" max="4" width="15.1640625" customWidth="1"/>
  </cols>
  <sheetData>
    <row r="1" spans="1:10">
      <c r="A1" s="59" t="s">
        <v>26</v>
      </c>
      <c r="B1" s="60" t="s">
        <v>71</v>
      </c>
      <c r="C1" s="60"/>
      <c r="D1" s="61" t="s">
        <v>73</v>
      </c>
      <c r="E1" s="60" t="s">
        <v>72</v>
      </c>
      <c r="F1" s="60"/>
      <c r="G1" s="60" t="s">
        <v>74</v>
      </c>
      <c r="H1" s="60"/>
      <c r="I1" s="60" t="s">
        <v>75</v>
      </c>
      <c r="J1" s="60"/>
    </row>
    <row r="2" spans="1:10" ht="27" thickBot="1">
      <c r="A2" s="58"/>
      <c r="B2" s="57" t="s">
        <v>77</v>
      </c>
      <c r="C2" s="57" t="s">
        <v>64</v>
      </c>
      <c r="D2" s="57" t="s">
        <v>65</v>
      </c>
      <c r="E2" s="57" t="s">
        <v>66</v>
      </c>
      <c r="F2" s="57" t="s">
        <v>67</v>
      </c>
      <c r="G2" s="57" t="s">
        <v>68</v>
      </c>
      <c r="H2" s="57" t="s">
        <v>69</v>
      </c>
      <c r="I2" s="57" t="s">
        <v>76</v>
      </c>
      <c r="J2" s="57" t="s">
        <v>70</v>
      </c>
    </row>
    <row r="3" spans="1:10">
      <c r="A3" s="55" t="s">
        <v>58</v>
      </c>
      <c r="B3" s="62">
        <v>0.50170000000000003</v>
      </c>
      <c r="C3" s="62">
        <v>6.6400000000000001E-2</v>
      </c>
      <c r="D3" s="62">
        <v>0.2281</v>
      </c>
      <c r="E3" s="62">
        <v>0.83609999999999995</v>
      </c>
      <c r="F3" s="62">
        <v>0.66559999999999997</v>
      </c>
      <c r="G3" s="62">
        <v>0.54579999999999995</v>
      </c>
      <c r="H3" s="62">
        <v>0.40239999999999998</v>
      </c>
      <c r="I3" s="62">
        <v>0.95820000000000005</v>
      </c>
      <c r="J3" s="62">
        <v>4.8371000000000004</v>
      </c>
    </row>
    <row r="4" spans="1:10">
      <c r="A4" s="56" t="s">
        <v>59</v>
      </c>
      <c r="B4" s="63">
        <v>0.68579999999999997</v>
      </c>
      <c r="C4" s="63">
        <v>5.3900000000000003E-2</v>
      </c>
      <c r="D4" s="63">
        <v>0.1716</v>
      </c>
      <c r="E4" s="63">
        <v>0.54120000000000001</v>
      </c>
      <c r="F4" s="63">
        <v>0.14949999999999999</v>
      </c>
      <c r="G4" s="63">
        <v>0.32040000000000002</v>
      </c>
      <c r="H4" s="63">
        <v>0.66339999999999999</v>
      </c>
      <c r="I4" s="63">
        <v>0.90849999999999997</v>
      </c>
      <c r="J4" s="63">
        <v>4.6372</v>
      </c>
    </row>
    <row r="5" spans="1:10">
      <c r="A5" s="56" t="s">
        <v>60</v>
      </c>
      <c r="B5" s="63" t="s">
        <v>61</v>
      </c>
      <c r="C5" s="63" t="s">
        <v>61</v>
      </c>
      <c r="D5" s="63">
        <v>0.16250000000000001</v>
      </c>
      <c r="E5" s="63">
        <v>0.53610000000000002</v>
      </c>
      <c r="F5" s="63">
        <v>0.14940000000000001</v>
      </c>
      <c r="G5" s="63">
        <v>0.53800000000000003</v>
      </c>
      <c r="H5" s="63">
        <v>0.42409999999999998</v>
      </c>
      <c r="I5" s="63">
        <v>0.87039999999999995</v>
      </c>
      <c r="J5" s="63">
        <v>4.4683000000000002</v>
      </c>
    </row>
    <row r="6" spans="1:10">
      <c r="A6" s="56" t="s">
        <v>62</v>
      </c>
      <c r="B6" s="63">
        <v>0.62380000000000002</v>
      </c>
      <c r="C6" s="63" t="s">
        <v>61</v>
      </c>
      <c r="D6" s="63">
        <v>0.16789999999999999</v>
      </c>
      <c r="E6" s="63">
        <v>0.50970000000000004</v>
      </c>
      <c r="F6" s="63">
        <v>0.14940000000000001</v>
      </c>
      <c r="G6" s="63">
        <v>0.54430000000000001</v>
      </c>
      <c r="H6" s="63">
        <v>0.45250000000000001</v>
      </c>
      <c r="I6" s="63">
        <v>0.89339999999999997</v>
      </c>
      <c r="J6" s="63">
        <v>4.5461999999999998</v>
      </c>
    </row>
    <row r="7" spans="1:10" ht="16" thickBot="1">
      <c r="A7" s="57" t="s">
        <v>63</v>
      </c>
      <c r="B7" s="64">
        <v>0.75249999999999995</v>
      </c>
      <c r="C7" s="64">
        <v>5.3900000000000003E-2</v>
      </c>
      <c r="D7" s="64">
        <v>0.1865</v>
      </c>
      <c r="E7" s="64">
        <v>0.45</v>
      </c>
      <c r="F7" s="64">
        <v>0.13639999999999999</v>
      </c>
      <c r="G7" s="64">
        <v>0.4652</v>
      </c>
      <c r="H7" s="64">
        <v>0.52849999999999997</v>
      </c>
      <c r="I7" s="64">
        <v>0.85929999999999995</v>
      </c>
      <c r="J7" s="64">
        <v>4.4101999999999997</v>
      </c>
    </row>
  </sheetData>
  <mergeCells count="5">
    <mergeCell ref="B1:C1"/>
    <mergeCell ref="E1:F1"/>
    <mergeCell ref="G1:H1"/>
    <mergeCell ref="I1:J1"/>
    <mergeCell ref="A1:A2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B04AF-CB7F-174A-A813-49CD13E00C0A}">
  <dimension ref="A1:G10"/>
  <sheetViews>
    <sheetView tabSelected="1" workbookViewId="0">
      <selection activeCell="B6" sqref="B6"/>
    </sheetView>
  </sheetViews>
  <sheetFormatPr baseColWidth="10" defaultRowHeight="15"/>
  <cols>
    <col min="2" max="2" width="17.33203125" customWidth="1"/>
  </cols>
  <sheetData>
    <row r="1" spans="1:7" ht="16" thickBot="1">
      <c r="A1" s="59" t="s">
        <v>26</v>
      </c>
      <c r="B1" s="58"/>
      <c r="C1" s="55" t="s">
        <v>58</v>
      </c>
      <c r="D1" s="56" t="s">
        <v>59</v>
      </c>
      <c r="E1" s="56" t="s">
        <v>60</v>
      </c>
      <c r="F1" s="56" t="s">
        <v>62</v>
      </c>
      <c r="G1" s="57" t="s">
        <v>63</v>
      </c>
    </row>
    <row r="2" spans="1:7" ht="27" thickBot="1">
      <c r="A2" s="60" t="s">
        <v>71</v>
      </c>
      <c r="B2" s="57" t="s">
        <v>77</v>
      </c>
      <c r="C2" s="62">
        <v>0.50170000000000003</v>
      </c>
      <c r="D2" s="63">
        <v>0.68579999999999997</v>
      </c>
      <c r="E2" s="63" t="s">
        <v>61</v>
      </c>
      <c r="F2" s="63">
        <v>0.62380000000000002</v>
      </c>
      <c r="G2" s="64">
        <v>0.75249999999999995</v>
      </c>
    </row>
    <row r="3" spans="1:7" ht="27" thickBot="1">
      <c r="A3" s="60"/>
      <c r="B3" s="57" t="s">
        <v>64</v>
      </c>
      <c r="C3" s="62">
        <v>6.6400000000000001E-2</v>
      </c>
      <c r="D3" s="63">
        <v>5.3900000000000003E-2</v>
      </c>
      <c r="E3" s="63" t="s">
        <v>61</v>
      </c>
      <c r="F3" s="63" t="s">
        <v>61</v>
      </c>
      <c r="G3" s="64">
        <v>5.3900000000000003E-2</v>
      </c>
    </row>
    <row r="4" spans="1:7" ht="27" thickBot="1">
      <c r="A4" s="61" t="s">
        <v>73</v>
      </c>
      <c r="B4" s="57" t="s">
        <v>65</v>
      </c>
      <c r="C4" s="62">
        <v>0.2281</v>
      </c>
      <c r="D4" s="63">
        <v>0.1716</v>
      </c>
      <c r="E4" s="63">
        <v>0.16250000000000001</v>
      </c>
      <c r="F4" s="63">
        <v>0.16789999999999999</v>
      </c>
      <c r="G4" s="64">
        <v>0.1865</v>
      </c>
    </row>
    <row r="5" spans="1:7" ht="27" thickBot="1">
      <c r="A5" s="60" t="s">
        <v>72</v>
      </c>
      <c r="B5" s="57" t="s">
        <v>66</v>
      </c>
      <c r="C5" s="62">
        <v>0.83609999999999995</v>
      </c>
      <c r="D5" s="63">
        <v>0.54120000000000001</v>
      </c>
      <c r="E5" s="63">
        <v>0.53610000000000002</v>
      </c>
      <c r="F5" s="63">
        <v>0.50970000000000004</v>
      </c>
      <c r="G5" s="64">
        <v>0.45</v>
      </c>
    </row>
    <row r="6" spans="1:7" ht="16" thickBot="1">
      <c r="A6" s="60"/>
      <c r="B6" s="57" t="s">
        <v>67</v>
      </c>
      <c r="C6" s="62">
        <v>0.66559999999999997</v>
      </c>
      <c r="D6" s="63">
        <v>0.14949999999999999</v>
      </c>
      <c r="E6" s="63">
        <v>0.14940000000000001</v>
      </c>
      <c r="F6" s="63">
        <v>0.14940000000000001</v>
      </c>
      <c r="G6" s="64">
        <v>0.13639999999999999</v>
      </c>
    </row>
    <row r="7" spans="1:7" ht="16" thickBot="1">
      <c r="A7" s="60" t="s">
        <v>74</v>
      </c>
      <c r="B7" s="57" t="s">
        <v>68</v>
      </c>
      <c r="C7" s="62">
        <v>0.54579999999999995</v>
      </c>
      <c r="D7" s="63">
        <v>0.32040000000000002</v>
      </c>
      <c r="E7" s="63">
        <v>0.53800000000000003</v>
      </c>
      <c r="F7" s="63">
        <v>0.54430000000000001</v>
      </c>
      <c r="G7" s="64">
        <v>0.4652</v>
      </c>
    </row>
    <row r="8" spans="1:7" ht="16" thickBot="1">
      <c r="A8" s="60"/>
      <c r="B8" s="57" t="s">
        <v>69</v>
      </c>
      <c r="C8" s="62">
        <v>0.40239999999999998</v>
      </c>
      <c r="D8" s="63">
        <v>0.66339999999999999</v>
      </c>
      <c r="E8" s="63">
        <v>0.42409999999999998</v>
      </c>
      <c r="F8" s="63">
        <v>0.45250000000000001</v>
      </c>
      <c r="G8" s="64">
        <v>0.52849999999999997</v>
      </c>
    </row>
    <row r="9" spans="1:7" ht="27" thickBot="1">
      <c r="A9" s="60" t="s">
        <v>75</v>
      </c>
      <c r="B9" s="57" t="s">
        <v>76</v>
      </c>
      <c r="C9" s="62">
        <v>0.95820000000000005</v>
      </c>
      <c r="D9" s="63">
        <v>0.90849999999999997</v>
      </c>
      <c r="E9" s="63">
        <v>0.87039999999999995</v>
      </c>
      <c r="F9" s="63">
        <v>0.89339999999999997</v>
      </c>
      <c r="G9" s="64">
        <v>0.85929999999999995</v>
      </c>
    </row>
    <row r="10" spans="1:7" ht="16" thickBot="1">
      <c r="A10" s="60"/>
      <c r="B10" s="57" t="s">
        <v>70</v>
      </c>
      <c r="C10" s="62">
        <v>4.8371000000000004</v>
      </c>
      <c r="D10" s="63">
        <v>4.6372</v>
      </c>
      <c r="E10" s="63">
        <v>4.4683000000000002</v>
      </c>
      <c r="F10" s="63">
        <v>4.5461999999999998</v>
      </c>
      <c r="G10" s="64">
        <v>4.4101999999999997</v>
      </c>
    </row>
  </sheetData>
  <mergeCells count="5">
    <mergeCell ref="A1:B1"/>
    <mergeCell ref="A2:A3"/>
    <mergeCell ref="A5:A6"/>
    <mergeCell ref="A7:A8"/>
    <mergeCell ref="A9:A10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A54C9-DA81-2842-9F31-19BCA2C3D5DD}">
  <dimension ref="A1:O35"/>
  <sheetViews>
    <sheetView topLeftCell="A31" workbookViewId="0">
      <selection activeCell="P39" sqref="P39"/>
    </sheetView>
  </sheetViews>
  <sheetFormatPr baseColWidth="10" defaultRowHeight="15"/>
  <sheetData>
    <row r="1" spans="1:13" ht="16" thickBot="1">
      <c r="A1" s="65" t="s">
        <v>55</v>
      </c>
      <c r="B1" s="66" t="s">
        <v>42</v>
      </c>
      <c r="C1" s="66" t="s">
        <v>43</v>
      </c>
      <c r="D1" s="66" t="s">
        <v>39</v>
      </c>
      <c r="E1" s="66" t="s">
        <v>44</v>
      </c>
      <c r="F1" s="66" t="s">
        <v>45</v>
      </c>
      <c r="G1" s="66" t="s">
        <v>41</v>
      </c>
      <c r="H1" s="66" t="s">
        <v>40</v>
      </c>
      <c r="J1" s="65" t="s">
        <v>78</v>
      </c>
      <c r="K1" s="66" t="s">
        <v>58</v>
      </c>
      <c r="L1" s="66" t="s">
        <v>59</v>
      </c>
      <c r="M1" s="66" t="s">
        <v>63</v>
      </c>
    </row>
    <row r="2" spans="1:13" ht="16" thickBot="1">
      <c r="A2" s="67" t="s">
        <v>58</v>
      </c>
      <c r="B2" s="68">
        <v>7.8E-2</v>
      </c>
      <c r="C2" s="68">
        <v>3.5999999999999997E-2</v>
      </c>
      <c r="D2" s="68">
        <v>4.02E-2</v>
      </c>
      <c r="E2" s="68">
        <v>0.1212</v>
      </c>
      <c r="F2" s="68">
        <v>3.5700000000000003E-2</v>
      </c>
      <c r="G2" s="68">
        <v>7.1400000000000005E-2</v>
      </c>
      <c r="H2" s="68">
        <v>6.25E-2</v>
      </c>
      <c r="J2" s="67" t="s">
        <v>48</v>
      </c>
      <c r="K2" s="68">
        <v>6.4199999999999993E-2</v>
      </c>
      <c r="L2" s="68">
        <v>3.9699999999999999E-2</v>
      </c>
      <c r="M2" s="68">
        <v>4.7500000000000001E-2</v>
      </c>
    </row>
    <row r="3" spans="1:13" ht="16" thickBot="1">
      <c r="A3" s="67" t="s">
        <v>59</v>
      </c>
      <c r="B3" s="68">
        <v>4.9599999999999998E-2</v>
      </c>
      <c r="C3" s="68">
        <v>2.8000000000000001E-2</v>
      </c>
      <c r="D3" s="68">
        <v>0.10920000000000001</v>
      </c>
      <c r="E3" s="68">
        <v>5.5100000000000003E-2</v>
      </c>
      <c r="F3" s="68">
        <v>3.5700000000000003E-2</v>
      </c>
      <c r="G3" s="68">
        <v>1.35E-2</v>
      </c>
      <c r="H3" s="68">
        <v>3.1300000000000001E-2</v>
      </c>
      <c r="J3" s="67" t="s">
        <v>49</v>
      </c>
      <c r="K3" s="68">
        <v>7.4399999999999994E-2</v>
      </c>
      <c r="L3" s="68">
        <v>6.6100000000000006E-2</v>
      </c>
      <c r="M3" s="68">
        <v>3.3099999999999997E-2</v>
      </c>
    </row>
    <row r="4" spans="1:13" ht="16" thickBot="1">
      <c r="A4" s="67" t="s">
        <v>63</v>
      </c>
      <c r="B4" s="68">
        <v>0.10639999999999999</v>
      </c>
      <c r="C4" s="68">
        <v>6.3100000000000003E-2</v>
      </c>
      <c r="D4" s="68">
        <v>5.7500000000000002E-2</v>
      </c>
      <c r="E4" s="68">
        <v>4.5499999999999999E-2</v>
      </c>
      <c r="F4" s="68">
        <v>0</v>
      </c>
      <c r="G4" s="68">
        <v>2.3800000000000002E-2</v>
      </c>
      <c r="H4" s="68">
        <v>2.3400000000000001E-2</v>
      </c>
      <c r="J4" s="67" t="s">
        <v>50</v>
      </c>
      <c r="K4" s="68">
        <v>6.8900000000000003E-2</v>
      </c>
      <c r="L4" s="68">
        <v>6.8699999999999997E-2</v>
      </c>
      <c r="M4" s="68">
        <v>7.2099999999999997E-2</v>
      </c>
    </row>
    <row r="29" spans="1:15" ht="16" thickBot="1"/>
    <row r="30" spans="1:15" ht="16" thickBot="1">
      <c r="A30" s="65" t="s">
        <v>55</v>
      </c>
      <c r="B30" s="69" t="s">
        <v>42</v>
      </c>
      <c r="C30" s="69" t="s">
        <v>43</v>
      </c>
      <c r="D30" s="69" t="s">
        <v>39</v>
      </c>
      <c r="E30" s="69" t="s">
        <v>44</v>
      </c>
      <c r="F30" s="69" t="s">
        <v>45</v>
      </c>
      <c r="G30" s="69" t="s">
        <v>41</v>
      </c>
      <c r="H30" s="69" t="s">
        <v>40</v>
      </c>
      <c r="J30" s="65" t="s">
        <v>78</v>
      </c>
      <c r="K30" s="72" t="s">
        <v>58</v>
      </c>
      <c r="L30" s="72" t="s">
        <v>59</v>
      </c>
      <c r="M30" s="72" t="s">
        <v>60</v>
      </c>
      <c r="N30" s="72" t="s">
        <v>62</v>
      </c>
      <c r="O30" s="72" t="s">
        <v>63</v>
      </c>
    </row>
    <row r="31" spans="1:15" ht="16" thickBot="1">
      <c r="A31" s="70" t="s">
        <v>58</v>
      </c>
      <c r="B31" s="71">
        <v>4.7721999999999998</v>
      </c>
      <c r="C31" s="71">
        <v>4.9551999999999996</v>
      </c>
      <c r="D31" s="71">
        <v>4.8132000000000001</v>
      </c>
      <c r="E31" s="71">
        <v>4.9555999999999996</v>
      </c>
      <c r="F31" s="71">
        <v>4.9230999999999998</v>
      </c>
      <c r="G31" s="71">
        <v>4.6870000000000003</v>
      </c>
      <c r="H31" s="71">
        <v>4.79</v>
      </c>
      <c r="J31" s="67" t="s">
        <v>48</v>
      </c>
      <c r="K31" s="73">
        <v>4.8085000000000004</v>
      </c>
      <c r="L31" s="73">
        <v>4.5571999999999999</v>
      </c>
      <c r="M31" s="73">
        <v>4.4707999999999997</v>
      </c>
      <c r="N31" s="73">
        <v>4.4579000000000004</v>
      </c>
      <c r="O31" s="73">
        <v>4.3311999999999999</v>
      </c>
    </row>
    <row r="32" spans="1:15" ht="16" thickBot="1">
      <c r="A32" s="70" t="s">
        <v>59</v>
      </c>
      <c r="B32" s="71">
        <v>4.6557000000000004</v>
      </c>
      <c r="C32" s="71">
        <v>4.8498000000000001</v>
      </c>
      <c r="D32" s="71">
        <v>4.5232999999999999</v>
      </c>
      <c r="E32" s="71">
        <v>4.8528000000000002</v>
      </c>
      <c r="F32" s="71">
        <v>4.5130999999999997</v>
      </c>
      <c r="G32" s="71">
        <v>4.5999999999999996</v>
      </c>
      <c r="H32" s="71">
        <v>4.3986999999999998</v>
      </c>
      <c r="J32" s="67" t="s">
        <v>49</v>
      </c>
      <c r="K32" s="73">
        <v>4.7285000000000004</v>
      </c>
      <c r="L32" s="73">
        <v>4.5152999999999999</v>
      </c>
      <c r="M32" s="73">
        <v>4.2487000000000004</v>
      </c>
      <c r="N32" s="73">
        <v>4.5944000000000003</v>
      </c>
      <c r="O32" s="73">
        <v>4.3033999999999999</v>
      </c>
    </row>
    <row r="33" spans="1:15" ht="16" thickBot="1">
      <c r="A33" s="70" t="s">
        <v>60</v>
      </c>
      <c r="B33" s="71">
        <v>4.3925000000000001</v>
      </c>
      <c r="C33" s="71">
        <v>4.5258000000000003</v>
      </c>
      <c r="D33" s="71">
        <v>4.4101999999999997</v>
      </c>
      <c r="E33" s="71">
        <v>4.5335999999999999</v>
      </c>
      <c r="F33" s="71">
        <v>4.4615</v>
      </c>
      <c r="G33" s="71">
        <v>4.6471</v>
      </c>
      <c r="H33" s="71">
        <v>4.3917000000000002</v>
      </c>
      <c r="J33" s="67" t="s">
        <v>50</v>
      </c>
      <c r="K33" s="73">
        <v>4.9134000000000002</v>
      </c>
      <c r="L33" s="73">
        <v>4.7788000000000004</v>
      </c>
      <c r="M33" s="73">
        <v>4.5608000000000004</v>
      </c>
      <c r="N33" s="73">
        <v>4.6185999999999998</v>
      </c>
      <c r="O33" s="73">
        <v>4.5397999999999996</v>
      </c>
    </row>
    <row r="34" spans="1:15" ht="16" thickBot="1">
      <c r="A34" s="70" t="s">
        <v>62</v>
      </c>
      <c r="B34" s="71">
        <v>4.5945</v>
      </c>
      <c r="C34" s="71">
        <v>4.8208000000000002</v>
      </c>
      <c r="D34" s="71">
        <v>4.5841000000000003</v>
      </c>
      <c r="E34" s="71">
        <v>4.4596</v>
      </c>
      <c r="F34" s="71">
        <v>4.6414999999999997</v>
      </c>
      <c r="G34" s="71">
        <v>4.2747000000000002</v>
      </c>
      <c r="H34" s="71">
        <v>4.3772000000000002</v>
      </c>
    </row>
    <row r="35" spans="1:15" ht="16" thickBot="1">
      <c r="A35" s="70" t="s">
        <v>63</v>
      </c>
      <c r="B35" s="71">
        <v>4.5389999999999997</v>
      </c>
      <c r="C35" s="71">
        <v>4.2377000000000002</v>
      </c>
      <c r="D35" s="71">
        <v>4.3617999999999997</v>
      </c>
      <c r="E35" s="71">
        <v>4.4816000000000003</v>
      </c>
      <c r="F35" s="71">
        <v>4.8977000000000004</v>
      </c>
      <c r="G35" s="71">
        <v>4.4709000000000003</v>
      </c>
      <c r="H35" s="71">
        <v>4.2542999999999997</v>
      </c>
    </row>
  </sheetData>
  <phoneticPr fontId="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F37BE-395B-4217-AF1D-C94C74C841FE}">
  <dimension ref="A1:B4"/>
  <sheetViews>
    <sheetView workbookViewId="0">
      <selection activeCell="L7" sqref="L7"/>
    </sheetView>
  </sheetViews>
  <sheetFormatPr baseColWidth="10" defaultColWidth="8.83203125" defaultRowHeight="15"/>
  <sheetData>
    <row r="1" spans="1:2">
      <c r="A1" t="s">
        <v>31</v>
      </c>
      <c r="B1" t="s">
        <v>32</v>
      </c>
    </row>
    <row r="2" spans="1:2">
      <c r="A2" t="s">
        <v>33</v>
      </c>
      <c r="B2">
        <v>0.32</v>
      </c>
    </row>
    <row r="3" spans="1:2">
      <c r="A3" t="s">
        <v>34</v>
      </c>
      <c r="B3">
        <v>0.44</v>
      </c>
    </row>
    <row r="4" spans="1:2">
      <c r="A4" t="s">
        <v>35</v>
      </c>
      <c r="B4">
        <v>0.44</v>
      </c>
    </row>
  </sheetData>
  <phoneticPr fontId="2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2A8D1-A6DB-DD46-9F84-09F8902F5CB7}">
  <dimension ref="A1:G9"/>
  <sheetViews>
    <sheetView zoomScale="75" workbookViewId="0">
      <selection activeCell="E1" sqref="E1:F4"/>
    </sheetView>
  </sheetViews>
  <sheetFormatPr baseColWidth="10" defaultRowHeight="15"/>
  <sheetData>
    <row r="1" spans="1:7" ht="17" thickBot="1">
      <c r="A1" s="29" t="s">
        <v>36</v>
      </c>
      <c r="B1" s="29" t="s">
        <v>37</v>
      </c>
      <c r="C1" s="29" t="s">
        <v>38</v>
      </c>
      <c r="E1" s="36" t="s">
        <v>47</v>
      </c>
      <c r="F1" s="37" t="s">
        <v>37</v>
      </c>
      <c r="G1" s="37" t="s">
        <v>38</v>
      </c>
    </row>
    <row r="2" spans="1:7" ht="16">
      <c r="A2" s="30" t="s">
        <v>39</v>
      </c>
      <c r="B2" s="31">
        <v>13</v>
      </c>
      <c r="C2" s="32">
        <v>0.2031</v>
      </c>
      <c r="E2" s="38" t="s">
        <v>48</v>
      </c>
      <c r="F2" s="39">
        <v>22</v>
      </c>
      <c r="G2" s="40">
        <v>0.34379999999999999</v>
      </c>
    </row>
    <row r="3" spans="1:7" ht="16">
      <c r="A3" s="30" t="s">
        <v>40</v>
      </c>
      <c r="B3" s="31">
        <v>13</v>
      </c>
      <c r="C3" s="32">
        <v>0.2031</v>
      </c>
      <c r="E3" s="38" t="s">
        <v>49</v>
      </c>
      <c r="F3" s="39">
        <v>22</v>
      </c>
      <c r="G3" s="40">
        <v>0.34379999999999999</v>
      </c>
    </row>
    <row r="4" spans="1:7" ht="16">
      <c r="A4" s="30" t="s">
        <v>41</v>
      </c>
      <c r="B4" s="31">
        <v>13</v>
      </c>
      <c r="C4" s="32">
        <v>0.2031</v>
      </c>
      <c r="E4" s="38" t="s">
        <v>50</v>
      </c>
      <c r="F4" s="39">
        <v>20</v>
      </c>
      <c r="G4" s="40">
        <v>0.3125</v>
      </c>
    </row>
    <row r="5" spans="1:7" ht="17" thickBot="1">
      <c r="A5" s="30" t="s">
        <v>42</v>
      </c>
      <c r="B5" s="31">
        <v>12</v>
      </c>
      <c r="C5" s="32">
        <v>0.1875</v>
      </c>
      <c r="E5" s="41" t="s">
        <v>46</v>
      </c>
      <c r="F5" s="42">
        <v>64</v>
      </c>
      <c r="G5" s="43">
        <v>1</v>
      </c>
    </row>
    <row r="6" spans="1:7" ht="16">
      <c r="A6" s="30" t="s">
        <v>43</v>
      </c>
      <c r="B6" s="31">
        <v>9</v>
      </c>
      <c r="C6" s="32">
        <v>0.1406</v>
      </c>
    </row>
    <row r="7" spans="1:7" ht="16">
      <c r="A7" s="30" t="s">
        <v>44</v>
      </c>
      <c r="B7" s="31">
        <v>3</v>
      </c>
      <c r="C7" s="32">
        <v>4.6899999999999997E-2</v>
      </c>
    </row>
    <row r="8" spans="1:7" ht="16">
      <c r="A8" s="30" t="s">
        <v>45</v>
      </c>
      <c r="B8" s="31">
        <v>1</v>
      </c>
      <c r="C8" s="32">
        <v>1.5599999999999999E-2</v>
      </c>
    </row>
    <row r="9" spans="1:7" ht="17" thickBot="1">
      <c r="A9" s="33" t="s">
        <v>46</v>
      </c>
      <c r="B9" s="34">
        <v>64</v>
      </c>
      <c r="C9" s="35">
        <v>1</v>
      </c>
    </row>
  </sheetData>
  <phoneticPr fontId="2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CBCBD-8597-424B-9CB4-7E03E9B6F74E}">
  <dimension ref="A1:F17"/>
  <sheetViews>
    <sheetView topLeftCell="A21" zoomScale="96" workbookViewId="0">
      <selection activeCell="E2" sqref="E2:F11"/>
    </sheetView>
  </sheetViews>
  <sheetFormatPr baseColWidth="10" defaultRowHeight="15"/>
  <cols>
    <col min="1" max="1" width="18.83203125" customWidth="1"/>
    <col min="2" max="2" width="17.33203125" customWidth="1"/>
  </cols>
  <sheetData>
    <row r="1" spans="1:6" ht="39" thickBot="1">
      <c r="A1" s="9" t="s">
        <v>51</v>
      </c>
      <c r="B1" s="9" t="s">
        <v>5</v>
      </c>
      <c r="D1" s="7" t="s">
        <v>53</v>
      </c>
      <c r="E1" s="7" t="s">
        <v>54</v>
      </c>
      <c r="F1" s="7" t="s">
        <v>52</v>
      </c>
    </row>
    <row r="2" spans="1:6" ht="25" thickTop="1" thickBot="1">
      <c r="A2" s="10" t="s">
        <v>21</v>
      </c>
      <c r="B2" s="14">
        <v>0.57999999999999996</v>
      </c>
      <c r="D2" s="1">
        <v>0</v>
      </c>
      <c r="E2" s="44">
        <v>0.63680000000000003</v>
      </c>
      <c r="F2" s="44">
        <v>0.6179</v>
      </c>
    </row>
    <row r="3" spans="1:6" ht="24" thickBot="1">
      <c r="A3" s="11">
        <v>1</v>
      </c>
      <c r="B3" s="15">
        <v>0.6069</v>
      </c>
      <c r="D3" s="3">
        <v>1</v>
      </c>
      <c r="E3" s="45">
        <v>0.6</v>
      </c>
      <c r="F3" s="45">
        <v>0.63</v>
      </c>
    </row>
    <row r="4" spans="1:6" ht="24" thickBot="1">
      <c r="A4" s="12">
        <v>2</v>
      </c>
      <c r="B4" s="16">
        <v>0.59030000000000005</v>
      </c>
      <c r="D4" s="5">
        <v>2</v>
      </c>
      <c r="E4" s="46">
        <v>0.67110000000000003</v>
      </c>
      <c r="F4" s="46">
        <v>0.71928999999999998</v>
      </c>
    </row>
    <row r="5" spans="1:6" ht="24" thickBot="1">
      <c r="A5" s="11">
        <v>3</v>
      </c>
      <c r="B5" s="15">
        <v>0.48099999999999998</v>
      </c>
      <c r="D5" s="3">
        <v>3</v>
      </c>
      <c r="E5" s="45">
        <v>0.54379999999999995</v>
      </c>
      <c r="F5" s="45">
        <v>0.61677999999999999</v>
      </c>
    </row>
    <row r="6" spans="1:6" ht="24" thickBot="1">
      <c r="A6" s="12">
        <v>4</v>
      </c>
      <c r="B6" s="16">
        <v>0.50060000000000004</v>
      </c>
      <c r="D6" s="5">
        <v>4</v>
      </c>
      <c r="E6" s="46">
        <v>0.72660000000000002</v>
      </c>
      <c r="F6" s="46">
        <v>0.73828000000000005</v>
      </c>
    </row>
    <row r="7" spans="1:6" ht="24" thickBot="1">
      <c r="A7" s="11">
        <v>5</v>
      </c>
      <c r="B7" s="15">
        <v>0.31919999999999998</v>
      </c>
      <c r="D7" s="3">
        <v>5</v>
      </c>
      <c r="E7" s="45">
        <v>0.60260000000000002</v>
      </c>
      <c r="F7" s="45">
        <v>0.69230000000000003</v>
      </c>
    </row>
    <row r="8" spans="1:6" ht="24" thickBot="1">
      <c r="A8" s="12">
        <v>6</v>
      </c>
      <c r="B8" s="16">
        <v>0.317</v>
      </c>
      <c r="D8" s="5">
        <v>6</v>
      </c>
      <c r="E8" s="46">
        <v>0.7238</v>
      </c>
      <c r="F8" s="46">
        <v>0.75238000000000005</v>
      </c>
    </row>
    <row r="9" spans="1:6" ht="24" thickBot="1">
      <c r="A9" s="11">
        <v>7</v>
      </c>
      <c r="B9" s="15">
        <v>0.19819999999999999</v>
      </c>
      <c r="D9" s="3">
        <v>7</v>
      </c>
      <c r="E9" s="45">
        <v>0.72650000000000003</v>
      </c>
      <c r="F9" s="45">
        <v>0.66015599999999997</v>
      </c>
    </row>
    <row r="10" spans="1:6" ht="24" thickBot="1">
      <c r="A10" s="12">
        <v>8</v>
      </c>
      <c r="B10" s="16">
        <v>0.1119</v>
      </c>
      <c r="D10" s="5">
        <v>8</v>
      </c>
      <c r="E10" s="46">
        <v>0.52680000000000005</v>
      </c>
      <c r="F10" s="46">
        <v>0.66659999999999997</v>
      </c>
    </row>
    <row r="11" spans="1:6" ht="24" thickBot="1">
      <c r="A11" s="11">
        <v>9</v>
      </c>
      <c r="B11" s="15">
        <v>0.12859999999999999</v>
      </c>
      <c r="D11" s="3">
        <v>9</v>
      </c>
      <c r="E11" s="45">
        <v>0.62609999999999999</v>
      </c>
      <c r="F11" s="45">
        <v>0.70093399999999995</v>
      </c>
    </row>
    <row r="12" spans="1:6" ht="20" thickBot="1">
      <c r="A12" s="13" t="s">
        <v>52</v>
      </c>
      <c r="B12" s="17">
        <v>0.68240000000000001</v>
      </c>
    </row>
    <row r="13" spans="1:6" ht="19" thickBot="1">
      <c r="A13" s="12"/>
      <c r="B13" s="16"/>
    </row>
    <row r="14" spans="1:6">
      <c r="B14" s="19"/>
    </row>
    <row r="15" spans="1:6">
      <c r="B15" s="19"/>
    </row>
    <row r="16" spans="1:6">
      <c r="B16" s="19"/>
    </row>
    <row r="17" spans="2:2">
      <c r="B17" s="19"/>
    </row>
  </sheetData>
  <phoneticPr fontId="2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731D0-FF48-0147-B05A-FC31359A5A2E}">
  <dimension ref="A1:B5"/>
  <sheetViews>
    <sheetView workbookViewId="0">
      <selection activeCell="K3" sqref="K3"/>
    </sheetView>
  </sheetViews>
  <sheetFormatPr baseColWidth="10" defaultRowHeight="15"/>
  <cols>
    <col min="1" max="1" width="46.83203125" customWidth="1"/>
  </cols>
  <sheetData>
    <row r="1" spans="1:2" ht="49" thickBot="1">
      <c r="A1" s="47" t="s">
        <v>55</v>
      </c>
      <c r="B1" s="48" t="s">
        <v>5</v>
      </c>
    </row>
    <row r="2" spans="1:2" ht="26" thickTop="1" thickBot="1">
      <c r="A2" s="49" t="s">
        <v>52</v>
      </c>
      <c r="B2" s="50">
        <v>0.68</v>
      </c>
    </row>
    <row r="3" spans="1:2" ht="73" thickBot="1">
      <c r="A3" s="51" t="s">
        <v>57</v>
      </c>
      <c r="B3" s="52">
        <v>0.67</v>
      </c>
    </row>
    <row r="4" spans="1:2" ht="73" thickBot="1">
      <c r="A4" s="49" t="s">
        <v>56</v>
      </c>
      <c r="B4" s="50">
        <v>0.66</v>
      </c>
    </row>
    <row r="5" spans="1:2">
      <c r="A5" s="53" t="s">
        <v>54</v>
      </c>
      <c r="B5" s="54">
        <v>0.61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Sheet1</vt:lpstr>
      <vt:lpstr>表5.1</vt:lpstr>
      <vt:lpstr>Sheet7</vt:lpstr>
      <vt:lpstr>表5.2</vt:lpstr>
      <vt:lpstr>4.4</vt:lpstr>
      <vt:lpstr>5.2</vt:lpstr>
      <vt:lpstr>图5.5 5.6</vt:lpstr>
      <vt:lpstr>图5.7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鉴 倪</dc:creator>
  <cp:lastModifiedBy>nijian.15</cp:lastModifiedBy>
  <dcterms:created xsi:type="dcterms:W3CDTF">2025-05-06T03:48:50Z</dcterms:created>
  <dcterms:modified xsi:type="dcterms:W3CDTF">2026-03-02T14:52:29Z</dcterms:modified>
</cp:coreProperties>
</file>