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研究生毕业设计\图\"/>
    </mc:Choice>
  </mc:AlternateContent>
  <xr:revisionPtr revIDLastSave="0" documentId="13_ncr:1_{BA38986A-F9E0-428A-B6D0-D23875E2F48D}" xr6:coauthVersionLast="47" xr6:coauthVersionMax="47" xr10:uidLastSave="{00000000-0000-0000-0000-000000000000}"/>
  <bookViews>
    <workbookView xWindow="2434" yWindow="1071" windowWidth="17297" windowHeight="12086" activeTab="1" xr2:uid="{F5EBCCAC-B496-4ADB-94F1-BB7D7FC84F14}"/>
  </bookViews>
  <sheets>
    <sheet name="Sheet1" sheetId="1" r:id="rId1"/>
    <sheet name="4.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12" i="1" l="1"/>
  <c r="AI12" i="1"/>
  <c r="AC6" i="1"/>
  <c r="AC19" i="1"/>
  <c r="C12" i="1"/>
  <c r="B12" i="1"/>
</calcChain>
</file>

<file path=xl/sharedStrings.xml><?xml version="1.0" encoding="utf-8"?>
<sst xmlns="http://schemas.openxmlformats.org/spreadsheetml/2006/main" count="45" uniqueCount="36">
  <si>
    <t>Conv</t>
    <phoneticPr fontId="2" type="noConversion"/>
  </si>
  <si>
    <t>best_win</t>
    <phoneticPr fontId="2" type="noConversion"/>
  </si>
  <si>
    <t>num</t>
    <phoneticPr fontId="2" type="noConversion"/>
  </si>
  <si>
    <t>Best Window</t>
    <phoneticPr fontId="2" type="noConversion"/>
  </si>
  <si>
    <t>Window</t>
  </si>
  <si>
    <t>Recall@5</t>
  </si>
  <si>
    <t>Dynamic window</t>
    <phoneticPr fontId="2" type="noConversion"/>
  </si>
  <si>
    <t>R@5</t>
    <phoneticPr fontId="2" type="noConversion"/>
  </si>
  <si>
    <t>Type of Issues</t>
    <phoneticPr fontId="2" type="noConversion"/>
  </si>
  <si>
    <t>Information Truncation</t>
    <phoneticPr fontId="2" type="noConversion"/>
  </si>
  <si>
    <t>Non-explicit Semantic Associations</t>
    <phoneticPr fontId="2" type="noConversion"/>
  </si>
  <si>
    <t>portion</t>
    <phoneticPr fontId="2" type="noConversion"/>
  </si>
  <si>
    <t xml:space="preserve">Predicted Window Size </t>
    <phoneticPr fontId="2" type="noConversion"/>
  </si>
  <si>
    <t>Predicted Window = 0</t>
    <phoneticPr fontId="2" type="noConversion"/>
  </si>
  <si>
    <t>Predicted Window = 1</t>
    <phoneticPr fontId="2" type="noConversion"/>
  </si>
  <si>
    <t>Predicted Window = 2</t>
    <phoneticPr fontId="2" type="noConversion"/>
  </si>
  <si>
    <t>Predicted Window = 3</t>
    <phoneticPr fontId="2" type="noConversion"/>
  </si>
  <si>
    <t>Predicted Window &gt;=4</t>
    <phoneticPr fontId="2" type="noConversion"/>
  </si>
  <si>
    <t>Window = 0</t>
    <phoneticPr fontId="2" type="noConversion"/>
  </si>
  <si>
    <t>Window = 1</t>
    <phoneticPr fontId="2" type="noConversion"/>
  </si>
  <si>
    <t>Window = 2</t>
    <phoneticPr fontId="2" type="noConversion"/>
  </si>
  <si>
    <t>None</t>
    <phoneticPr fontId="2" type="noConversion"/>
  </si>
  <si>
    <t>Fix Window With Best  Recall</t>
    <phoneticPr fontId="2" type="noConversion"/>
  </si>
  <si>
    <t>Information Noise</t>
    <phoneticPr fontId="2" type="noConversion"/>
  </si>
  <si>
    <t xml:space="preserve">unset window refiner </t>
    <phoneticPr fontId="2" type="noConversion"/>
  </si>
  <si>
    <t>confidence</t>
    <phoneticPr fontId="2" type="noConversion"/>
  </si>
  <si>
    <t>Method</t>
  </si>
  <si>
    <t>Fix Window method</t>
    <phoneticPr fontId="2" type="noConversion"/>
  </si>
  <si>
    <t>Our method</t>
    <phoneticPr fontId="2" type="noConversion"/>
  </si>
  <si>
    <t xml:space="preserve">                    Our method 
--unset Window Refiner 
</t>
    <phoneticPr fontId="2" type="noConversion"/>
  </si>
  <si>
    <t xml:space="preserve">                            Our method 
       --unset Window Refiner 
--unset Dynamic Window Selector</t>
    <phoneticPr fontId="2" type="noConversion"/>
  </si>
  <si>
    <t>问题分类</t>
    <phoneticPr fontId="2" type="noConversion"/>
  </si>
  <si>
    <t>占比</t>
    <phoneticPr fontId="2" type="noConversion"/>
  </si>
  <si>
    <t>信息截断</t>
    <phoneticPr fontId="2" type="noConversion"/>
  </si>
  <si>
    <t>信息噪声</t>
    <phoneticPr fontId="2" type="noConversion"/>
  </si>
  <si>
    <t>非显式语义关联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</si>
</sst>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18"/>
      <color rgb="FF000000"/>
      <name val="等线"/>
      <charset val="134"/>
    </font>
    <font>
      <sz val="9"/>
      <name val="等线"/>
      <family val="2"/>
      <charset val="134"/>
      <scheme val="minor"/>
    </font>
    <font>
      <b/>
      <sz val="14"/>
      <color rgb="FFFFFFFF"/>
      <name val="等线"/>
      <family val="3"/>
      <charset val="134"/>
    </font>
    <font>
      <b/>
      <sz val="18"/>
      <color rgb="FFFFFFFF"/>
      <name val="等线"/>
      <charset val="134"/>
    </font>
    <font>
      <sz val="14"/>
      <color rgb="FF000000"/>
      <name val="等线"/>
      <family val="3"/>
      <charset val="134"/>
    </font>
    <font>
      <b/>
      <sz val="14"/>
      <color rgb="FF000000"/>
      <name val="等线"/>
      <family val="3"/>
      <charset val="134"/>
    </font>
    <font>
      <u/>
      <sz val="11"/>
      <color theme="10"/>
      <name val="等线"/>
      <family val="2"/>
      <charset val="134"/>
      <scheme val="minor"/>
    </font>
    <font>
      <b/>
      <sz val="18"/>
      <color rgb="FFFFFFFF"/>
      <name val="等线"/>
      <family val="3"/>
      <charset val="134"/>
    </font>
    <font>
      <sz val="18"/>
      <color rgb="FF000000"/>
      <name val="等线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E1E1E1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BCBCB"/>
        <bgColor indexed="64"/>
      </patternFill>
    </fill>
    <fill>
      <patternFill patternType="solid">
        <fgColor rgb="FFE7E7E7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 wrapText="1" readingOrder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4" borderId="3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3" borderId="3" xfId="0" applyFont="1" applyFill="1" applyBorder="1" applyAlignment="1">
      <alignment horizontal="center" vertical="center" wrapText="1" readingOrder="1"/>
    </xf>
    <xf numFmtId="0" fontId="1" fillId="3" borderId="3" xfId="0" applyFont="1" applyFill="1" applyBorder="1" applyAlignment="1">
      <alignment horizontal="left"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0" fontId="3" fillId="2" borderId="0" xfId="0" applyFont="1" applyFill="1" applyAlignment="1">
      <alignment horizontal="center" vertical="center" wrapText="1" readingOrder="1"/>
    </xf>
    <xf numFmtId="0" fontId="4" fillId="2" borderId="1" xfId="0" applyFont="1" applyFill="1" applyBorder="1" applyAlignment="1">
      <alignment horizontal="left" vertical="center" wrapText="1" readingOrder="1"/>
    </xf>
    <xf numFmtId="0" fontId="5" fillId="3" borderId="2" xfId="0" applyFont="1" applyFill="1" applyBorder="1" applyAlignment="1">
      <alignment horizontal="left" vertical="center" wrapText="1" readingOrder="1"/>
    </xf>
    <xf numFmtId="0" fontId="5" fillId="4" borderId="3" xfId="0" applyFont="1" applyFill="1" applyBorder="1" applyAlignment="1">
      <alignment horizontal="left" vertical="center" wrapText="1" readingOrder="1"/>
    </xf>
    <xf numFmtId="0" fontId="5" fillId="3" borderId="3" xfId="0" applyFont="1" applyFill="1" applyBorder="1" applyAlignment="1">
      <alignment horizontal="left" vertical="center" wrapText="1" readingOrder="1"/>
    </xf>
    <xf numFmtId="0" fontId="6" fillId="3" borderId="3" xfId="0" applyFont="1" applyFill="1" applyBorder="1" applyAlignment="1">
      <alignment horizontal="left" vertical="center" wrapText="1" readingOrder="1"/>
    </xf>
    <xf numFmtId="2" fontId="5" fillId="3" borderId="2" xfId="0" applyNumberFormat="1" applyFont="1" applyFill="1" applyBorder="1" applyAlignment="1">
      <alignment horizontal="left" vertical="center" wrapText="1" readingOrder="1"/>
    </xf>
    <xf numFmtId="2" fontId="5" fillId="4" borderId="3" xfId="0" applyNumberFormat="1" applyFont="1" applyFill="1" applyBorder="1" applyAlignment="1">
      <alignment horizontal="left" vertical="center" wrapText="1" readingOrder="1"/>
    </xf>
    <xf numFmtId="2" fontId="5" fillId="3" borderId="3" xfId="0" applyNumberFormat="1" applyFont="1" applyFill="1" applyBorder="1" applyAlignment="1">
      <alignment horizontal="left" vertical="center" wrapText="1" readingOrder="1"/>
    </xf>
    <xf numFmtId="2" fontId="6" fillId="3" borderId="3" xfId="0" applyNumberFormat="1" applyFont="1" applyFill="1" applyBorder="1" applyAlignment="1">
      <alignment horizontal="left" vertical="center" wrapText="1" readingOrder="1"/>
    </xf>
    <xf numFmtId="0" fontId="5" fillId="4" borderId="4" xfId="0" applyFont="1" applyFill="1" applyBorder="1" applyAlignment="1">
      <alignment horizontal="left" vertical="center" wrapText="1" readingOrder="1"/>
    </xf>
    <xf numFmtId="2" fontId="0" fillId="0" borderId="0" xfId="0" applyNumberFormat="1">
      <alignment vertical="center"/>
    </xf>
    <xf numFmtId="0" fontId="7" fillId="2" borderId="1" xfId="1" applyFill="1" applyBorder="1" applyAlignment="1">
      <alignment horizontal="left" vertical="center" wrapText="1" readingOrder="1"/>
    </xf>
    <xf numFmtId="0" fontId="8" fillId="5" borderId="1" xfId="0" applyFont="1" applyFill="1" applyBorder="1" applyAlignment="1">
      <alignment horizontal="left" vertical="center" wrapText="1" readingOrder="1"/>
    </xf>
    <xf numFmtId="0" fontId="9" fillId="6" borderId="2" xfId="0" applyFont="1" applyFill="1" applyBorder="1" applyAlignment="1">
      <alignment horizontal="left" vertical="center" wrapText="1" readingOrder="1"/>
    </xf>
    <xf numFmtId="0" fontId="9" fillId="7" borderId="3" xfId="0" applyFont="1" applyFill="1" applyBorder="1" applyAlignment="1">
      <alignment horizontal="left" vertical="center" wrapText="1" readingOrder="1"/>
    </xf>
    <xf numFmtId="0" fontId="9" fillId="6" borderId="3" xfId="0" applyFont="1" applyFill="1" applyBorder="1" applyAlignment="1">
      <alignment horizontal="left" vertical="center" wrapText="1" readingOrder="1"/>
    </xf>
    <xf numFmtId="0" fontId="0" fillId="0" borderId="0" xfId="0" applyAlignment="1">
      <alignment horizontal="right" vertical="center"/>
    </xf>
    <xf numFmtId="0" fontId="9" fillId="6" borderId="2" xfId="0" applyFont="1" applyFill="1" applyBorder="1" applyAlignment="1">
      <alignment horizontal="right" vertical="center" wrapText="1" readingOrder="1"/>
    </xf>
    <xf numFmtId="0" fontId="9" fillId="7" borderId="3" xfId="0" applyFont="1" applyFill="1" applyBorder="1" applyAlignment="1">
      <alignment horizontal="right" vertical="center" wrapText="1" readingOrder="1"/>
    </xf>
    <xf numFmtId="0" fontId="9" fillId="6" borderId="3" xfId="0" applyFont="1" applyFill="1" applyBorder="1" applyAlignment="1">
      <alignment horizontal="right" vertical="center" wrapText="1" readingOrder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Sheet1!$N$1</c:f>
              <c:strCache>
                <c:ptCount val="1"/>
                <c:pt idx="0">
                  <c:v>Recall@5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CB4-47A5-8788-13A3BA0DAE01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BB-43A6-AE4B-3E27D76D7EB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Sheet1!$M$2:$M$12</c:f>
              <c:strCache>
                <c:ptCount val="11"/>
                <c:pt idx="0">
                  <c:v>None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Our method</c:v>
                </c:pt>
              </c:strCache>
            </c:strRef>
          </c:cat>
          <c:val>
            <c:numRef>
              <c:f>Sheet1!$N$2:$N$12</c:f>
              <c:numCache>
                <c:formatCode>0.00</c:formatCode>
                <c:ptCount val="11"/>
                <c:pt idx="0">
                  <c:v>0.57999999999999996</c:v>
                </c:pt>
                <c:pt idx="1">
                  <c:v>0.6069</c:v>
                </c:pt>
                <c:pt idx="2">
                  <c:v>0.59030000000000005</c:v>
                </c:pt>
                <c:pt idx="3">
                  <c:v>0.48099999999999998</c:v>
                </c:pt>
                <c:pt idx="4">
                  <c:v>0.50060000000000004</c:v>
                </c:pt>
                <c:pt idx="5">
                  <c:v>0.31919999999999998</c:v>
                </c:pt>
                <c:pt idx="6">
                  <c:v>0.317</c:v>
                </c:pt>
                <c:pt idx="7">
                  <c:v>0.19819999999999999</c:v>
                </c:pt>
                <c:pt idx="8">
                  <c:v>0.1119</c:v>
                </c:pt>
                <c:pt idx="9">
                  <c:v>0.12859999999999999</c:v>
                </c:pt>
                <c:pt idx="10">
                  <c:v>0.68240000000000001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BB-43A6-AE4B-3E27D76D7E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1145088"/>
        <c:axId val="431147008"/>
      </c:barChart>
      <c:catAx>
        <c:axId val="4311450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US" altLang="zh-CN" sz="1400" baseline="0">
                    <a:latin typeface="Times New Roman" panose="02020603050405020304" pitchFamily="18" charset="0"/>
                  </a:rPr>
                  <a:t>Window Size</a:t>
                </a:r>
                <a:endParaRPr lang="zh-CN" altLang="en-US" sz="1400" baseline="0">
                  <a:latin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zh-CN"/>
          </a:p>
        </c:txPr>
        <c:crossAx val="431147008"/>
        <c:crosses val="autoZero"/>
        <c:auto val="1"/>
        <c:lblAlgn val="ctr"/>
        <c:lblOffset val="100"/>
        <c:noMultiLvlLbl val="0"/>
      </c:catAx>
      <c:valAx>
        <c:axId val="43114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145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Fix Window With Best  Recall</c:v>
                </c:pt>
              </c:strCache>
            </c:strRef>
          </c:tx>
          <c:spPr>
            <a:ln w="28575" cap="rnd">
              <a:solidFill>
                <a:schemeClr val="accent2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Sheet1!$A$2:$A$11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Sheet1!$B$2:$B$11</c:f>
              <c:numCache>
                <c:formatCode>General</c:formatCode>
                <c:ptCount val="10"/>
                <c:pt idx="0">
                  <c:v>0.63680000000000003</c:v>
                </c:pt>
                <c:pt idx="1">
                  <c:v>0.6</c:v>
                </c:pt>
                <c:pt idx="2">
                  <c:v>0.67110000000000003</c:v>
                </c:pt>
                <c:pt idx="3">
                  <c:v>0.54379999999999995</c:v>
                </c:pt>
                <c:pt idx="4">
                  <c:v>0.72660000000000002</c:v>
                </c:pt>
                <c:pt idx="5">
                  <c:v>0.60260000000000002</c:v>
                </c:pt>
                <c:pt idx="6">
                  <c:v>0.7238</c:v>
                </c:pt>
                <c:pt idx="7">
                  <c:v>0.72650000000000003</c:v>
                </c:pt>
                <c:pt idx="8">
                  <c:v>0.52680000000000005</c:v>
                </c:pt>
                <c:pt idx="9">
                  <c:v>0.62609999999999999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C0-4F19-9DA1-B544DB602D8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Dynamic window</c:v>
                </c:pt>
              </c:strCache>
            </c:strRef>
          </c:tx>
          <c:spPr>
            <a:ln w="285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Sheet1!$A$2:$A$11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Sheet1!$C$2:$C$11</c:f>
              <c:numCache>
                <c:formatCode>General</c:formatCode>
                <c:ptCount val="10"/>
                <c:pt idx="0">
                  <c:v>0.6179</c:v>
                </c:pt>
                <c:pt idx="1">
                  <c:v>0.63</c:v>
                </c:pt>
                <c:pt idx="2">
                  <c:v>0.65790000000000004</c:v>
                </c:pt>
                <c:pt idx="3">
                  <c:v>0.54010000000000002</c:v>
                </c:pt>
                <c:pt idx="4">
                  <c:v>0.73070000000000002</c:v>
                </c:pt>
                <c:pt idx="5">
                  <c:v>0.68589999999999995</c:v>
                </c:pt>
                <c:pt idx="6">
                  <c:v>0.64290000000000003</c:v>
                </c:pt>
                <c:pt idx="7">
                  <c:v>0.55069999999999997</c:v>
                </c:pt>
                <c:pt idx="8">
                  <c:v>0.64510000000000001</c:v>
                </c:pt>
                <c:pt idx="9">
                  <c:v>0.64480000000000004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C0-4F19-9DA1-B544DB602D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3953824"/>
        <c:axId val="1653947104"/>
      </c:lineChart>
      <c:catAx>
        <c:axId val="16539538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US" altLang="zh-CN" sz="1400" baseline="0">
                    <a:latin typeface="Times New Roman" panose="02020603050405020304" pitchFamily="18" charset="0"/>
                  </a:rPr>
                  <a:t>Different conversation</a:t>
                </a:r>
                <a:endParaRPr lang="zh-CN" altLang="en-US" sz="1400" baseline="0">
                  <a:latin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53947104"/>
        <c:crosses val="autoZero"/>
        <c:auto val="1"/>
        <c:lblAlgn val="ctr"/>
        <c:lblOffset val="100"/>
        <c:noMultiLvlLbl val="0"/>
      </c:catAx>
      <c:valAx>
        <c:axId val="165394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5395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Different conversations Recall@5  </a:t>
            </a:r>
            <a:endParaRPr 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Fix Window With Best  Recall</c:v>
                </c:pt>
              </c:strCache>
            </c:strRef>
          </c:tx>
          <c:spPr>
            <a:solidFill>
              <a:schemeClr val="accent2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numRef>
              <c:f>Sheet1!$A$2:$A$11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Sheet1!$B$2:$B$11</c:f>
              <c:numCache>
                <c:formatCode>General</c:formatCode>
                <c:ptCount val="10"/>
                <c:pt idx="0">
                  <c:v>0.63680000000000003</c:v>
                </c:pt>
                <c:pt idx="1">
                  <c:v>0.6</c:v>
                </c:pt>
                <c:pt idx="2">
                  <c:v>0.67110000000000003</c:v>
                </c:pt>
                <c:pt idx="3">
                  <c:v>0.54379999999999995</c:v>
                </c:pt>
                <c:pt idx="4">
                  <c:v>0.72660000000000002</c:v>
                </c:pt>
                <c:pt idx="5">
                  <c:v>0.60260000000000002</c:v>
                </c:pt>
                <c:pt idx="6">
                  <c:v>0.7238</c:v>
                </c:pt>
                <c:pt idx="7">
                  <c:v>0.72650000000000003</c:v>
                </c:pt>
                <c:pt idx="8">
                  <c:v>0.52680000000000005</c:v>
                </c:pt>
                <c:pt idx="9">
                  <c:v>0.62609999999999999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F9-4B51-982A-798B98D4DF1D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Dynamic window</c:v>
                </c:pt>
              </c:strCache>
            </c:strRef>
          </c:tx>
          <c:spPr>
            <a:solidFill>
              <a:schemeClr val="accent2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numRef>
              <c:f>Sheet1!$A$2:$A$11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Sheet1!$C$2:$C$11</c:f>
              <c:numCache>
                <c:formatCode>General</c:formatCode>
                <c:ptCount val="10"/>
                <c:pt idx="0">
                  <c:v>0.6179</c:v>
                </c:pt>
                <c:pt idx="1">
                  <c:v>0.63</c:v>
                </c:pt>
                <c:pt idx="2">
                  <c:v>0.65790000000000004</c:v>
                </c:pt>
                <c:pt idx="3">
                  <c:v>0.54010000000000002</c:v>
                </c:pt>
                <c:pt idx="4">
                  <c:v>0.73070000000000002</c:v>
                </c:pt>
                <c:pt idx="5">
                  <c:v>0.68589999999999995</c:v>
                </c:pt>
                <c:pt idx="6">
                  <c:v>0.64290000000000003</c:v>
                </c:pt>
                <c:pt idx="7">
                  <c:v>0.55069999999999997</c:v>
                </c:pt>
                <c:pt idx="8">
                  <c:v>0.64510000000000001</c:v>
                </c:pt>
                <c:pt idx="9">
                  <c:v>0.64480000000000004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F9-4B51-982A-798B98D4D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3607872"/>
        <c:axId val="1313609792"/>
      </c:barChart>
      <c:catAx>
        <c:axId val="13136078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Different</a:t>
                </a:r>
                <a:r>
                  <a:rPr lang="en-US" altLang="zh-CN" baseline="0"/>
                  <a:t> conversation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13609792"/>
        <c:crosses val="autoZero"/>
        <c:auto val="1"/>
        <c:lblAlgn val="ctr"/>
        <c:lblOffset val="100"/>
        <c:noMultiLvlLbl val="0"/>
      </c:catAx>
      <c:valAx>
        <c:axId val="131360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1360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Sheet1!$U$1</c:f>
              <c:strCache>
                <c:ptCount val="1"/>
                <c:pt idx="0">
                  <c:v>R@5</c:v>
                </c:pt>
              </c:strCache>
            </c:strRef>
          </c:tx>
          <c:spPr>
            <a:ln w="9525" cap="rnd">
              <a:solidFill>
                <a:schemeClr val="accent2">
                  <a:alpha val="5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Sheet1!$T$2:$T$17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Sheet1!$U$2:$U$17</c:f>
              <c:numCache>
                <c:formatCode>0.00</c:formatCode>
                <c:ptCount val="16"/>
                <c:pt idx="0">
                  <c:v>0.57999999999999996</c:v>
                </c:pt>
                <c:pt idx="1">
                  <c:v>0.6069</c:v>
                </c:pt>
                <c:pt idx="2">
                  <c:v>0.59030000000000005</c:v>
                </c:pt>
                <c:pt idx="3">
                  <c:v>0.48099999999999998</c:v>
                </c:pt>
                <c:pt idx="4">
                  <c:v>0.50060000000000004</c:v>
                </c:pt>
                <c:pt idx="5">
                  <c:v>0.31919999999999998</c:v>
                </c:pt>
                <c:pt idx="6">
                  <c:v>0.317</c:v>
                </c:pt>
                <c:pt idx="7" formatCode="General">
                  <c:v>0.17</c:v>
                </c:pt>
                <c:pt idx="8">
                  <c:v>0.19819999999999999</c:v>
                </c:pt>
                <c:pt idx="9">
                  <c:v>0.1119</c:v>
                </c:pt>
                <c:pt idx="10">
                  <c:v>0.12859999999999999</c:v>
                </c:pt>
                <c:pt idx="11">
                  <c:v>8.6400000000000005E-2</c:v>
                </c:pt>
                <c:pt idx="12">
                  <c:v>6.9000000000000006E-2</c:v>
                </c:pt>
                <c:pt idx="13">
                  <c:v>4.7500000000000001E-2</c:v>
                </c:pt>
                <c:pt idx="14">
                  <c:v>4.6800000000000001E-2</c:v>
                </c:pt>
                <c:pt idx="15">
                  <c:v>2.4899999999999999E-2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6-4486-A775-05D78C2D87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4263503"/>
        <c:axId val="14266383"/>
      </c:scatterChart>
      <c:valAx>
        <c:axId val="14263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200" baseline="0"/>
                  <a:t>Fixed Window Size</a:t>
                </a:r>
                <a:endParaRPr lang="zh-CN" altLang="en-US" sz="1200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266383"/>
        <c:crosses val="autoZero"/>
        <c:crossBetween val="midCat"/>
      </c:valAx>
      <c:valAx>
        <c:axId val="1426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200" b="1" i="0" u="none" strike="noStrike" kern="1200" cap="none" spc="0" normalizeH="0" baseline="0">
                    <a:solidFill>
                      <a:sysClr val="windowText" lastClr="000000">
                        <a:lumMod val="50000"/>
                        <a:lumOff val="50000"/>
                      </a:sysClr>
                    </a:solidFill>
                    <a:latin typeface="Times New Roman" panose="02020603050405020304" pitchFamily="18" charset="0"/>
                  </a:rPr>
                  <a:t>R@5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263503"/>
        <c:crosses val="autoZero"/>
        <c:crossBetween val="midCat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Sheet1!$Z$1</c:f>
              <c:strCache>
                <c:ptCount val="1"/>
                <c:pt idx="0">
                  <c:v>portion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Sheet1!$Y$2:$Y$4</c:f>
              <c:strCache>
                <c:ptCount val="3"/>
                <c:pt idx="0">
                  <c:v>Information Truncation</c:v>
                </c:pt>
                <c:pt idx="1">
                  <c:v>Information Noise</c:v>
                </c:pt>
                <c:pt idx="2">
                  <c:v>Non-explicit Semantic Associations</c:v>
                </c:pt>
              </c:strCache>
            </c:strRef>
          </c:cat>
          <c:val>
            <c:numRef>
              <c:f>Sheet1!$Z$2:$Z$4</c:f>
              <c:numCache>
                <c:formatCode>General</c:formatCode>
                <c:ptCount val="3"/>
                <c:pt idx="0">
                  <c:v>0.32</c:v>
                </c:pt>
                <c:pt idx="1">
                  <c:v>0.44</c:v>
                </c:pt>
                <c:pt idx="2">
                  <c:v>0.44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1C-416D-AFC9-E44432FEC5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13761791"/>
        <c:axId val="1213755071"/>
      </c:barChart>
      <c:catAx>
        <c:axId val="121376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zh-CN"/>
          </a:p>
        </c:txPr>
        <c:crossAx val="1213755071"/>
        <c:crosses val="autoZero"/>
        <c:auto val="1"/>
        <c:lblAlgn val="ctr"/>
        <c:lblOffset val="100"/>
        <c:noMultiLvlLbl val="0"/>
      </c:catAx>
      <c:valAx>
        <c:axId val="121375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US" sz="1600" baseline="0">
                    <a:latin typeface="Times New Roman" panose="02020603050405020304" pitchFamily="18" charset="0"/>
                  </a:rPr>
                  <a:t>Proportion</a:t>
                </a:r>
                <a:endParaRPr lang="zh-CN" sz="1600" baseline="0">
                  <a:latin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1376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Sheet1!$AC$1</c:f>
              <c:strCache>
                <c:ptCount val="1"/>
                <c:pt idx="0">
                  <c:v>num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2">
                      <a:shade val="53000"/>
                      <a:lumMod val="60000"/>
                      <a:lumOff val="40000"/>
                    </a:schemeClr>
                  </a:gs>
                  <a:gs pos="0">
                    <a:schemeClr val="accent2">
                      <a:shade val="53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904-49DC-8E96-75922A37ED77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shade val="76000"/>
                      <a:lumMod val="60000"/>
                      <a:lumOff val="40000"/>
                    </a:schemeClr>
                  </a:gs>
                  <a:gs pos="0">
                    <a:schemeClr val="accent2">
                      <a:shade val="76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904-49DC-8E96-75922A37ED77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A1D-4C69-B6F3-CAE458D9D397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2">
                      <a:tint val="77000"/>
                      <a:lumMod val="60000"/>
                      <a:lumOff val="40000"/>
                    </a:schemeClr>
                  </a:gs>
                  <a:gs pos="0">
                    <a:schemeClr val="accent2">
                      <a:tint val="77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A1D-4C69-B6F3-CAE458D9D397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2">
                      <a:tint val="54000"/>
                      <a:lumMod val="60000"/>
                      <a:lumOff val="40000"/>
                    </a:schemeClr>
                  </a:gs>
                  <a:gs pos="0">
                    <a:schemeClr val="accent2">
                      <a:tint val="54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904-49DC-8E96-75922A37ED77}"/>
              </c:ext>
            </c:extLst>
          </c:dPt>
          <c:dLbls>
            <c:dLbl>
              <c:idx val="0"/>
              <c:layout>
                <c:manualLayout>
                  <c:x val="2.8064189652048207E-2"/>
                  <c:y val="2.228955892122045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217238585728025"/>
                      <c:h val="0.1761191069784747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A904-49DC-8E96-75922A37ED77}"/>
                </c:ext>
              </c:extLst>
            </c:dLbl>
            <c:dLbl>
              <c:idx val="1"/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804948612445946"/>
                      <c:h val="9.366762991492817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A904-49DC-8E96-75922A37ED77}"/>
                </c:ext>
              </c:extLst>
            </c:dLbl>
            <c:dLbl>
              <c:idx val="4"/>
              <c:layout>
                <c:manualLayout>
                  <c:x val="1.511148673571828E-2"/>
                  <c:y val="5.2008970816181048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211848245072632"/>
                      <c:h val="0.1335689027511391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A904-49DC-8E96-75922A37ED77}"/>
                </c:ext>
              </c:extLst>
            </c:dLbl>
            <c:spPr>
              <a:solidFill>
                <a:sysClr val="window" lastClr="FFFFFF">
                  <a:alpha val="75000"/>
                </a:sysClr>
              </a:solidFill>
              <a:ln w="9525"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Sheet1!$AB$2:$AB$6</c:f>
              <c:strCache>
                <c:ptCount val="5"/>
                <c:pt idx="0">
                  <c:v>Predicted Window = 0</c:v>
                </c:pt>
                <c:pt idx="1">
                  <c:v>Predicted Window = 1</c:v>
                </c:pt>
                <c:pt idx="2">
                  <c:v>Predicted Window = 2</c:v>
                </c:pt>
                <c:pt idx="3">
                  <c:v>Predicted Window = 3</c:v>
                </c:pt>
                <c:pt idx="4">
                  <c:v>Predicted Window &gt;=4</c:v>
                </c:pt>
              </c:strCache>
            </c:strRef>
          </c:cat>
          <c:val>
            <c:numRef>
              <c:f>Sheet1!$AC$2:$AC$6</c:f>
              <c:numCache>
                <c:formatCode>General</c:formatCode>
                <c:ptCount val="5"/>
                <c:pt idx="0">
                  <c:v>266</c:v>
                </c:pt>
                <c:pt idx="1">
                  <c:v>1094</c:v>
                </c:pt>
                <c:pt idx="2">
                  <c:v>2466</c:v>
                </c:pt>
                <c:pt idx="3">
                  <c:v>1175</c:v>
                </c:pt>
                <c:pt idx="4">
                  <c:v>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4-49DC-8E96-75922A37E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Sheet1!$J$1</c:f>
              <c:strCache>
                <c:ptCount val="1"/>
                <c:pt idx="0">
                  <c:v>num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2">
                      <a:shade val="65000"/>
                      <a:lumMod val="60000"/>
                      <a:lumOff val="40000"/>
                    </a:schemeClr>
                  </a:gs>
                  <a:gs pos="0">
                    <a:schemeClr val="accent2">
                      <a:shade val="65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C-4E92-8102-66466E877825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C-4E92-8102-66466E877825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2">
                      <a:tint val="65000"/>
                      <a:lumMod val="60000"/>
                      <a:lumOff val="40000"/>
                    </a:schemeClr>
                  </a:gs>
                  <a:gs pos="0">
                    <a:schemeClr val="accent2">
                      <a:tint val="65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C-4E92-8102-66466E877825}"/>
              </c:ext>
            </c:extLst>
          </c:dPt>
          <c:dLbls>
            <c:spPr>
              <a:solidFill>
                <a:sysClr val="window" lastClr="FFFFFF">
                  <a:alpha val="75000"/>
                </a:sysClr>
              </a:solidFill>
              <a:ln w="9525"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Sheet1!$I$2:$I$4</c:f>
              <c:strCache>
                <c:ptCount val="3"/>
                <c:pt idx="0">
                  <c:v>Window = 0</c:v>
                </c:pt>
                <c:pt idx="1">
                  <c:v>Window = 1</c:v>
                </c:pt>
                <c:pt idx="2">
                  <c:v>Window = 2</c:v>
                </c:pt>
              </c:strCache>
            </c:strRef>
          </c:cat>
          <c:val>
            <c:numRef>
              <c:f>Sheet1!$J$2:$J$4</c:f>
              <c:numCache>
                <c:formatCode>General</c:formatCode>
                <c:ptCount val="3"/>
                <c:pt idx="0">
                  <c:v>4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D2-461D-893D-3309DCF65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Sheet1!$AI$1</c:f>
              <c:strCache>
                <c:ptCount val="1"/>
                <c:pt idx="0">
                  <c:v>Fix Window With Best  Recall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numFmt formatCode="#,##0.00_);[Red]\(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Sheet1!$AH$2:$AH$11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Sheet1!$AI$2:$AI$11</c:f>
              <c:numCache>
                <c:formatCode>General</c:formatCode>
                <c:ptCount val="10"/>
                <c:pt idx="0">
                  <c:v>0.63680000000000003</c:v>
                </c:pt>
                <c:pt idx="1">
                  <c:v>0.6</c:v>
                </c:pt>
                <c:pt idx="2">
                  <c:v>0.67110000000000003</c:v>
                </c:pt>
                <c:pt idx="3">
                  <c:v>0.54379999999999995</c:v>
                </c:pt>
                <c:pt idx="4">
                  <c:v>0.72660000000000002</c:v>
                </c:pt>
                <c:pt idx="5">
                  <c:v>0.60260000000000002</c:v>
                </c:pt>
                <c:pt idx="6">
                  <c:v>0.7238</c:v>
                </c:pt>
                <c:pt idx="7">
                  <c:v>0.72650000000000003</c:v>
                </c:pt>
                <c:pt idx="8">
                  <c:v>0.52680000000000005</c:v>
                </c:pt>
                <c:pt idx="9">
                  <c:v>0.62609999999999999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60-45EE-BA7A-0846ADACF4B8}"/>
            </c:ext>
          </c:extLst>
        </c:ser>
        <c:ser>
          <c:idx val="1"/>
          <c:order val="1"/>
          <c:tx>
            <c:strRef>
              <c:f>Sheet1!$AJ$1</c:f>
              <c:strCache>
                <c:ptCount val="1"/>
                <c:pt idx="0">
                  <c:v>Our method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#,##0.00_);[Red]\(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Sheet1!$AH$2:$AH$11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Sheet1!$AJ$2:$AJ$11</c:f>
              <c:numCache>
                <c:formatCode>General</c:formatCode>
                <c:ptCount val="10"/>
                <c:pt idx="0">
                  <c:v>0.6179</c:v>
                </c:pt>
                <c:pt idx="1">
                  <c:v>0.63</c:v>
                </c:pt>
                <c:pt idx="2">
                  <c:v>0.71928999999999998</c:v>
                </c:pt>
                <c:pt idx="3">
                  <c:v>0.61677999999999999</c:v>
                </c:pt>
                <c:pt idx="4">
                  <c:v>0.73828000000000005</c:v>
                </c:pt>
                <c:pt idx="5">
                  <c:v>0.69230000000000003</c:v>
                </c:pt>
                <c:pt idx="6">
                  <c:v>0.75238000000000005</c:v>
                </c:pt>
                <c:pt idx="7">
                  <c:v>0.66015599999999997</c:v>
                </c:pt>
                <c:pt idx="8">
                  <c:v>0.66659999999999997</c:v>
                </c:pt>
                <c:pt idx="9">
                  <c:v>0.70093399999999995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60-45EE-BA7A-0846ADACF4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11829263"/>
        <c:axId val="711823983"/>
      </c:barChart>
      <c:catAx>
        <c:axId val="711829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823983"/>
        <c:crosses val="autoZero"/>
        <c:auto val="1"/>
        <c:lblAlgn val="ctr"/>
        <c:lblOffset val="100"/>
        <c:noMultiLvlLbl val="0"/>
      </c:catAx>
      <c:valAx>
        <c:axId val="71182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829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Sheet1!$AT$1</c:f>
              <c:strCache>
                <c:ptCount val="1"/>
                <c:pt idx="0">
                  <c:v>confidence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DCB-4AB7-BAEF-F363D2FADF1B}"/>
              </c:ext>
            </c:extLst>
          </c:dPt>
          <c:dPt>
            <c:idx val="1"/>
            <c:bubble3D val="0"/>
            <c:spPr>
              <a:solidFill>
                <a:schemeClr val="accent2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DCB-4AB7-BAEF-F363D2FADF1B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DCB-4AB7-BAEF-F363D2FADF1B}"/>
              </c:ext>
            </c:extLst>
          </c:dPt>
          <c:dPt>
            <c:idx val="3"/>
            <c:bubble3D val="0"/>
            <c:spPr>
              <a:solidFill>
                <a:schemeClr val="accent2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DCB-4AB7-BAEF-F363D2FADF1B}"/>
              </c:ext>
            </c:extLst>
          </c:dPt>
          <c:dPt>
            <c:idx val="4"/>
            <c:bubble3D val="0"/>
            <c:spPr>
              <a:solidFill>
                <a:schemeClr val="accent2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DCB-4AB7-BAEF-F363D2FADF1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Sheet1!$AT$2:$AT$6</c:f>
              <c:numCache>
                <c:formatCode>General</c:formatCode>
                <c:ptCount val="5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5-481D-9E59-D913FD383081}"/>
            </c:ext>
          </c:extLst>
        </c:ser>
        <c:ser>
          <c:idx val="1"/>
          <c:order val="1"/>
          <c:tx>
            <c:strRef>
              <c:f>Sheet1!$AU$1</c:f>
              <c:strCache>
                <c:ptCount val="1"/>
                <c:pt idx="0">
                  <c:v>portion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DCB-4AB7-BAEF-F363D2FADF1B}"/>
              </c:ext>
            </c:extLst>
          </c:dPt>
          <c:dPt>
            <c:idx val="1"/>
            <c:bubble3D val="0"/>
            <c:spPr>
              <a:solidFill>
                <a:schemeClr val="accent2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DCB-4AB7-BAEF-F363D2FADF1B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DCB-4AB7-BAEF-F363D2FADF1B}"/>
              </c:ext>
            </c:extLst>
          </c:dPt>
          <c:dPt>
            <c:idx val="3"/>
            <c:bubble3D val="0"/>
            <c:spPr>
              <a:solidFill>
                <a:schemeClr val="accent2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DCB-4AB7-BAEF-F363D2FADF1B}"/>
              </c:ext>
            </c:extLst>
          </c:dPt>
          <c:dPt>
            <c:idx val="4"/>
            <c:bubble3D val="0"/>
            <c:spPr>
              <a:solidFill>
                <a:schemeClr val="accent2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DCB-4AB7-BAEF-F363D2FADF1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Sheet1!$AU$2:$AU$6</c:f>
              <c:numCache>
                <c:formatCode>General</c:formatCode>
                <c:ptCount val="5"/>
                <c:pt idx="0">
                  <c:v>0.62649999999999995</c:v>
                </c:pt>
                <c:pt idx="1">
                  <c:v>0.16270000000000001</c:v>
                </c:pt>
                <c:pt idx="2">
                  <c:v>0.1724</c:v>
                </c:pt>
                <c:pt idx="3">
                  <c:v>3.7100000000000001E-2</c:v>
                </c:pt>
                <c:pt idx="4">
                  <c:v>1.4E-3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15-481D-9E59-D913FD3830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Sheet1!$BN$1</c:f>
              <c:strCache>
                <c:ptCount val="1"/>
                <c:pt idx="0">
                  <c:v>Recall@5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3C3-4EAF-B03F-8EDAF882E00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3C3-4EAF-B03F-8EDAF882E00F}"/>
              </c:ext>
            </c:extLst>
          </c:dPt>
          <c:cat>
            <c:strRef>
              <c:f>Sheet1!$BM$2:$BM$4</c:f>
              <c:strCache>
                <c:ptCount val="3"/>
                <c:pt idx="0">
                  <c:v>Our method</c:v>
                </c:pt>
                <c:pt idx="1">
                  <c:v>                    Our method 
--unset Window Refiner 
</c:v>
                </c:pt>
                <c:pt idx="2">
                  <c:v>                            Our method 
       --unset Window Refiner 
--unset Dynamic Window Selector</c:v>
                </c:pt>
              </c:strCache>
            </c:strRef>
          </c:cat>
          <c:val>
            <c:numRef>
              <c:f>Sheet1!$BN$2:$BN$4</c:f>
              <c:numCache>
                <c:formatCode>General</c:formatCode>
                <c:ptCount val="3"/>
                <c:pt idx="0">
                  <c:v>0.68</c:v>
                </c:pt>
                <c:pt idx="1">
                  <c:v>0.67</c:v>
                </c:pt>
                <c:pt idx="2">
                  <c:v>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EAF-B03F-8EDAF882E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1892560"/>
        <c:axId val="951888720"/>
      </c:barChart>
      <c:catAx>
        <c:axId val="95189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951888720"/>
        <c:crosses val="autoZero"/>
        <c:auto val="1"/>
        <c:lblAlgn val="ctr"/>
        <c:lblOffset val="100"/>
        <c:noMultiLvlLbl val="0"/>
      </c:catAx>
      <c:valAx>
        <c:axId val="95188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95189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Sheet1!$BN$1</c:f>
              <c:strCache>
                <c:ptCount val="1"/>
                <c:pt idx="0">
                  <c:v>Recall@5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E87-4102-8B9E-F04D1D1E9DC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E87-4102-8B9E-F04D1D1E9DC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87-4102-8B9E-F04D1D1E9DC3}"/>
              </c:ext>
            </c:extLst>
          </c:dPt>
          <c:cat>
            <c:strRef>
              <c:f>Sheet1!$BM$2:$BM$5</c:f>
              <c:strCache>
                <c:ptCount val="4"/>
                <c:pt idx="0">
                  <c:v>Our method</c:v>
                </c:pt>
                <c:pt idx="1">
                  <c:v>                    Our method 
--unset Window Refiner 
</c:v>
                </c:pt>
                <c:pt idx="2">
                  <c:v>                            Our method 
       --unset Window Refiner 
--unset Dynamic Window Selector</c:v>
                </c:pt>
                <c:pt idx="3">
                  <c:v>Fix Window method</c:v>
                </c:pt>
              </c:strCache>
            </c:strRef>
          </c:cat>
          <c:val>
            <c:numRef>
              <c:f>Sheet1!$BN$2:$BN$5</c:f>
              <c:numCache>
                <c:formatCode>General</c:formatCode>
                <c:ptCount val="4"/>
                <c:pt idx="0">
                  <c:v>0.68</c:v>
                </c:pt>
                <c:pt idx="1">
                  <c:v>0.67</c:v>
                </c:pt>
                <c:pt idx="2">
                  <c:v>0.66</c:v>
                </c:pt>
                <c:pt idx="3">
                  <c:v>0.61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87-4102-8B9E-F04D1D1E9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99392112"/>
        <c:axId val="1099393072"/>
      </c:barChart>
      <c:catAx>
        <c:axId val="1099392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9393072"/>
        <c:crosses val="autoZero"/>
        <c:auto val="1"/>
        <c:lblAlgn val="ctr"/>
        <c:lblOffset val="100"/>
        <c:noMultiLvlLbl val="0"/>
      </c:catAx>
      <c:valAx>
        <c:axId val="1099393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9392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'4.4'!$B$1</c:f>
              <c:strCache>
                <c:ptCount val="1"/>
                <c:pt idx="0">
                  <c:v>占比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'4.4'!$A$2:$A$4</c:f>
              <c:strCache>
                <c:ptCount val="3"/>
                <c:pt idx="0">
                  <c:v>信息截断</c:v>
                </c:pt>
                <c:pt idx="1">
                  <c:v>信息噪声</c:v>
                </c:pt>
                <c:pt idx="2">
                  <c:v>非显式语义关联</c:v>
                </c:pt>
              </c:strCache>
            </c:strRef>
          </c:cat>
          <c:val>
            <c:numRef>
              <c:f>'4.4'!$B$2:$B$4</c:f>
              <c:numCache>
                <c:formatCode>General</c:formatCode>
                <c:ptCount val="3"/>
                <c:pt idx="0">
                  <c:v>0.32</c:v>
                </c:pt>
                <c:pt idx="1">
                  <c:v>0.44</c:v>
                </c:pt>
                <c:pt idx="2">
                  <c:v>0.44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F0-47F8-9B2D-0ADBC17C8E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809072"/>
        <c:axId val="154817232"/>
      </c:barChart>
      <c:catAx>
        <c:axId val="15480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817232"/>
        <c:crosses val="autoZero"/>
        <c:auto val="1"/>
        <c:lblAlgn val="ctr"/>
        <c:lblOffset val="100"/>
        <c:noMultiLvlLbl val="0"/>
      </c:catAx>
      <c:valAx>
        <c:axId val="15481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80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440819</xdr:colOff>
      <xdr:row>55</xdr:row>
      <xdr:rowOff>79708</xdr:rowOff>
    </xdr:from>
    <xdr:to>
      <xdr:col>29</xdr:col>
      <xdr:colOff>134360</xdr:colOff>
      <xdr:row>83</xdr:row>
      <xdr:rowOff>79708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8F357347-B707-F73C-01C1-9029DA8F9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306074</xdr:colOff>
      <xdr:row>39</xdr:row>
      <xdr:rowOff>750</xdr:rowOff>
    </xdr:from>
    <xdr:to>
      <xdr:col>42</xdr:col>
      <xdr:colOff>41402</xdr:colOff>
      <xdr:row>67</xdr:row>
      <xdr:rowOff>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662131FB-F360-729B-A62B-05AA89C9B8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373622</xdr:colOff>
      <xdr:row>38</xdr:row>
      <xdr:rowOff>139863</xdr:rowOff>
    </xdr:from>
    <xdr:to>
      <xdr:col>13</xdr:col>
      <xdr:colOff>828904</xdr:colOff>
      <xdr:row>63</xdr:row>
      <xdr:rowOff>90488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F10B6C92-A411-7103-7FF8-1A2EB0EF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584867</xdr:colOff>
      <xdr:row>65</xdr:row>
      <xdr:rowOff>165767</xdr:rowOff>
    </xdr:from>
    <xdr:to>
      <xdr:col>11</xdr:col>
      <xdr:colOff>626643</xdr:colOff>
      <xdr:row>93</xdr:row>
      <xdr:rowOff>125329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F6962F9-B405-6E13-7364-9131868ED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151293</xdr:colOff>
      <xdr:row>10</xdr:row>
      <xdr:rowOff>120285</xdr:rowOff>
    </xdr:from>
    <xdr:to>
      <xdr:col>31</xdr:col>
      <xdr:colOff>532215</xdr:colOff>
      <xdr:row>35</xdr:row>
      <xdr:rowOff>25066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86C4F5ED-711E-5A00-48C8-4076044304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74360</xdr:colOff>
      <xdr:row>13</xdr:row>
      <xdr:rowOff>174122</xdr:rowOff>
    </xdr:from>
    <xdr:to>
      <xdr:col>13</xdr:col>
      <xdr:colOff>1027697</xdr:colOff>
      <xdr:row>33</xdr:row>
      <xdr:rowOff>83553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534041A1-86B7-3946-FBD6-E58E035F4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550611</xdr:colOff>
      <xdr:row>14</xdr:row>
      <xdr:rowOff>32084</xdr:rowOff>
    </xdr:from>
    <xdr:to>
      <xdr:col>7</xdr:col>
      <xdr:colOff>409408</xdr:colOff>
      <xdr:row>33</xdr:row>
      <xdr:rowOff>75198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AF423FA2-C59F-223D-B577-59F9418D82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640088</xdr:colOff>
      <xdr:row>16</xdr:row>
      <xdr:rowOff>121461</xdr:rowOff>
    </xdr:from>
    <xdr:to>
      <xdr:col>46</xdr:col>
      <xdr:colOff>596103</xdr:colOff>
      <xdr:row>43</xdr:row>
      <xdr:rowOff>57705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7F35B9F-0767-41F0-242F-F6B616D8B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456542</xdr:colOff>
      <xdr:row>0</xdr:row>
      <xdr:rowOff>878270</xdr:rowOff>
    </xdr:from>
    <xdr:to>
      <xdr:col>61</xdr:col>
      <xdr:colOff>426983</xdr:colOff>
      <xdr:row>15</xdr:row>
      <xdr:rowOff>65690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FE5A493E-EB1E-C65E-F9F9-370879EF0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49</xdr:col>
      <xdr:colOff>408142</xdr:colOff>
      <xdr:row>15</xdr:row>
      <xdr:rowOff>36664</xdr:rowOff>
    </xdr:from>
    <xdr:to>
      <xdr:col>64</xdr:col>
      <xdr:colOff>327173</xdr:colOff>
      <xdr:row>40</xdr:row>
      <xdr:rowOff>46085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F492C868-72D2-7988-2C91-0D91643E50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64</xdr:col>
      <xdr:colOff>553251</xdr:colOff>
      <xdr:row>8</xdr:row>
      <xdr:rowOff>197653</xdr:rowOff>
    </xdr:from>
    <xdr:to>
      <xdr:col>66</xdr:col>
      <xdr:colOff>211666</xdr:colOff>
      <xdr:row>28</xdr:row>
      <xdr:rowOff>124080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8F43AF12-E523-4381-46DC-5F0BC99A96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228599</xdr:colOff>
      <xdr:row>3</xdr:row>
      <xdr:rowOff>174171</xdr:rowOff>
    </xdr:from>
    <xdr:to>
      <xdr:col>9</xdr:col>
      <xdr:colOff>620485</xdr:colOff>
      <xdr:row>19</xdr:row>
      <xdr:rowOff>43543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B106F82-17CA-C3EB-7673-B62EB52EFA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R@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00EF8-6542-44BA-86AF-41C612561BA0}">
  <dimension ref="A1:BN19"/>
  <sheetViews>
    <sheetView zoomScale="37" zoomScaleNormal="55" workbookViewId="0">
      <selection activeCell="Y1" sqref="Y1:Z4"/>
    </sheetView>
  </sheetViews>
  <sheetFormatPr defaultRowHeight="14.15" x14ac:dyDescent="0.35"/>
  <cols>
    <col min="1" max="1" width="8.0703125" bestFit="1" customWidth="1"/>
    <col min="2" max="2" width="16.35546875" customWidth="1"/>
    <col min="3" max="3" width="11.5703125" bestFit="1" customWidth="1"/>
    <col min="7" max="7" width="11.5703125" customWidth="1"/>
    <col min="9" max="9" width="13.42578125" customWidth="1"/>
    <col min="10" max="10" width="15" customWidth="1"/>
    <col min="13" max="13" width="19" customWidth="1"/>
    <col min="14" max="14" width="19.92578125" customWidth="1"/>
    <col min="25" max="25" width="31.92578125" bestFit="1" customWidth="1"/>
    <col min="28" max="28" width="19.5703125" bestFit="1" customWidth="1"/>
    <col min="35" max="35" width="10.0703125" bestFit="1" customWidth="1"/>
    <col min="36" max="36" width="13.5" bestFit="1" customWidth="1"/>
    <col min="37" max="38" width="8.7109375" bestFit="1" customWidth="1"/>
    <col min="46" max="47" width="8.7109375" bestFit="1" customWidth="1"/>
    <col min="61" max="61" width="8.2109375" customWidth="1"/>
    <col min="62" max="64" width="8.640625" hidden="1" customWidth="1"/>
    <col min="65" max="65" width="52.140625" customWidth="1"/>
    <col min="66" max="66" width="41.2109375" customWidth="1"/>
  </cols>
  <sheetData>
    <row r="1" spans="1:66" ht="90.45" thickBot="1" x14ac:dyDescent="0.4">
      <c r="A1" s="7" t="s">
        <v>0</v>
      </c>
      <c r="B1" s="7" t="s">
        <v>22</v>
      </c>
      <c r="C1" s="7" t="s">
        <v>6</v>
      </c>
      <c r="F1" s="8" t="s">
        <v>0</v>
      </c>
      <c r="G1" s="8" t="s">
        <v>1</v>
      </c>
      <c r="I1" s="8" t="s">
        <v>3</v>
      </c>
      <c r="J1" s="8" t="s">
        <v>2</v>
      </c>
      <c r="M1" s="9" t="s">
        <v>4</v>
      </c>
      <c r="N1" s="9" t="s">
        <v>5</v>
      </c>
      <c r="T1" s="9" t="s">
        <v>4</v>
      </c>
      <c r="U1" s="20" t="s">
        <v>7</v>
      </c>
      <c r="Y1" t="s">
        <v>8</v>
      </c>
      <c r="Z1" t="s">
        <v>11</v>
      </c>
      <c r="AB1" t="s">
        <v>12</v>
      </c>
      <c r="AC1" t="s">
        <v>2</v>
      </c>
      <c r="AH1" s="7" t="s">
        <v>0</v>
      </c>
      <c r="AI1" s="7" t="s">
        <v>22</v>
      </c>
      <c r="AJ1" s="7" t="s">
        <v>28</v>
      </c>
      <c r="AK1" s="8" t="s">
        <v>24</v>
      </c>
      <c r="AT1" t="s">
        <v>25</v>
      </c>
      <c r="AU1" t="s">
        <v>11</v>
      </c>
      <c r="BM1" s="21" t="s">
        <v>26</v>
      </c>
      <c r="BN1" s="21" t="s">
        <v>5</v>
      </c>
    </row>
    <row r="2" spans="1:66" ht="23.6" thickTop="1" thickBot="1" x14ac:dyDescent="0.4">
      <c r="A2" s="1">
        <v>0</v>
      </c>
      <c r="B2" s="2">
        <v>0.63680000000000003</v>
      </c>
      <c r="C2" s="2">
        <v>0.6179</v>
      </c>
      <c r="F2" s="1">
        <v>0</v>
      </c>
      <c r="G2">
        <v>2</v>
      </c>
      <c r="I2" t="s">
        <v>18</v>
      </c>
      <c r="J2">
        <v>4</v>
      </c>
      <c r="M2" s="10" t="s">
        <v>21</v>
      </c>
      <c r="N2" s="14">
        <v>0.57999999999999996</v>
      </c>
      <c r="T2" s="10">
        <v>0</v>
      </c>
      <c r="U2" s="14">
        <v>0.57999999999999996</v>
      </c>
      <c r="Y2" t="s">
        <v>9</v>
      </c>
      <c r="Z2">
        <v>0.32</v>
      </c>
      <c r="AB2" t="s">
        <v>13</v>
      </c>
      <c r="AC2">
        <v>266</v>
      </c>
      <c r="AH2" s="1">
        <v>0</v>
      </c>
      <c r="AI2" s="2">
        <v>0.63680000000000003</v>
      </c>
      <c r="AJ2" s="2">
        <v>0.6179</v>
      </c>
      <c r="AK2">
        <v>0.60840000000000005</v>
      </c>
      <c r="AL2">
        <v>0.68859999999999999</v>
      </c>
      <c r="AT2">
        <v>1</v>
      </c>
      <c r="AU2">
        <v>0.62649999999999995</v>
      </c>
      <c r="BM2" s="26" t="s">
        <v>28</v>
      </c>
      <c r="BN2" s="22">
        <v>0.68</v>
      </c>
    </row>
    <row r="3" spans="1:66" ht="68.599999999999994" thickBot="1" x14ac:dyDescent="0.4">
      <c r="A3" s="3">
        <v>1</v>
      </c>
      <c r="B3" s="4">
        <v>0.6</v>
      </c>
      <c r="C3" s="4">
        <v>0.63</v>
      </c>
      <c r="F3" s="3">
        <v>1</v>
      </c>
      <c r="G3">
        <v>1</v>
      </c>
      <c r="I3" t="s">
        <v>19</v>
      </c>
      <c r="J3">
        <v>2</v>
      </c>
      <c r="M3" s="11">
        <v>1</v>
      </c>
      <c r="N3" s="15">
        <v>0.6069</v>
      </c>
      <c r="T3" s="11">
        <v>1</v>
      </c>
      <c r="U3" s="15">
        <v>0.6069</v>
      </c>
      <c r="Y3" t="s">
        <v>23</v>
      </c>
      <c r="Z3">
        <v>0.44</v>
      </c>
      <c r="AB3" t="s">
        <v>14</v>
      </c>
      <c r="AC3">
        <v>1094</v>
      </c>
      <c r="AH3" s="3">
        <v>1</v>
      </c>
      <c r="AI3" s="4">
        <v>0.6</v>
      </c>
      <c r="AJ3" s="4">
        <v>0.63</v>
      </c>
      <c r="AK3">
        <v>0.61</v>
      </c>
      <c r="AL3">
        <v>0.61</v>
      </c>
      <c r="AT3">
        <v>0.8</v>
      </c>
      <c r="AU3">
        <v>0.16270000000000001</v>
      </c>
      <c r="BM3" s="27" t="s">
        <v>29</v>
      </c>
      <c r="BN3" s="23">
        <v>0.67</v>
      </c>
    </row>
    <row r="4" spans="1:66" ht="68.599999999999994" thickBot="1" x14ac:dyDescent="0.4">
      <c r="A4" s="5">
        <v>2</v>
      </c>
      <c r="B4" s="6">
        <v>0.67110000000000003</v>
      </c>
      <c r="C4" s="6">
        <v>0.65790000000000004</v>
      </c>
      <c r="F4" s="5">
        <v>2</v>
      </c>
      <c r="G4">
        <v>0</v>
      </c>
      <c r="I4" t="s">
        <v>20</v>
      </c>
      <c r="J4">
        <v>4</v>
      </c>
      <c r="M4" s="12">
        <v>2</v>
      </c>
      <c r="N4" s="16">
        <v>0.59030000000000005</v>
      </c>
      <c r="T4" s="12">
        <v>2</v>
      </c>
      <c r="U4" s="16">
        <v>0.59030000000000005</v>
      </c>
      <c r="Y4" t="s">
        <v>10</v>
      </c>
      <c r="Z4">
        <v>0.44</v>
      </c>
      <c r="AB4" t="s">
        <v>15</v>
      </c>
      <c r="AC4">
        <v>2466</v>
      </c>
      <c r="AH4" s="5">
        <v>2</v>
      </c>
      <c r="AI4" s="6">
        <v>0.67110000000000003</v>
      </c>
      <c r="AJ4" s="6">
        <v>0.71928999999999998</v>
      </c>
      <c r="AK4">
        <v>0.73680000000000001</v>
      </c>
      <c r="AT4">
        <v>0.6</v>
      </c>
      <c r="AU4">
        <v>0.1724</v>
      </c>
      <c r="BM4" s="28" t="s">
        <v>30</v>
      </c>
      <c r="BN4" s="24">
        <v>0.66</v>
      </c>
    </row>
    <row r="5" spans="1:66" ht="23.15" thickBot="1" x14ac:dyDescent="0.4">
      <c r="A5" s="3">
        <v>3</v>
      </c>
      <c r="B5" s="4">
        <v>0.54379999999999995</v>
      </c>
      <c r="C5" s="4">
        <v>0.54010000000000002</v>
      </c>
      <c r="F5" s="3">
        <v>3</v>
      </c>
      <c r="G5">
        <v>0</v>
      </c>
      <c r="M5" s="11">
        <v>3</v>
      </c>
      <c r="N5" s="15">
        <v>0.48099999999999998</v>
      </c>
      <c r="T5" s="11">
        <v>3</v>
      </c>
      <c r="U5" s="15">
        <v>0.48099999999999998</v>
      </c>
      <c r="AB5" t="s">
        <v>16</v>
      </c>
      <c r="AC5">
        <v>1175</v>
      </c>
      <c r="AH5" s="3">
        <v>3</v>
      </c>
      <c r="AI5" s="4">
        <v>0.54379999999999995</v>
      </c>
      <c r="AJ5" s="4">
        <v>0.61677999999999999</v>
      </c>
      <c r="AK5">
        <v>0.58389999999999997</v>
      </c>
      <c r="AT5">
        <v>0.4</v>
      </c>
      <c r="AU5">
        <v>3.7100000000000001E-2</v>
      </c>
      <c r="BM5" s="25" t="s">
        <v>27</v>
      </c>
      <c r="BN5">
        <v>0.61</v>
      </c>
    </row>
    <row r="6" spans="1:66" ht="23.15" thickBot="1" x14ac:dyDescent="0.4">
      <c r="A6" s="5">
        <v>4</v>
      </c>
      <c r="B6" s="6">
        <v>0.72660000000000002</v>
      </c>
      <c r="C6" s="6">
        <v>0.73070000000000002</v>
      </c>
      <c r="F6" s="5">
        <v>4</v>
      </c>
      <c r="G6">
        <v>2</v>
      </c>
      <c r="M6" s="12">
        <v>4</v>
      </c>
      <c r="N6" s="16">
        <v>0.50060000000000004</v>
      </c>
      <c r="T6" s="12">
        <v>4</v>
      </c>
      <c r="U6" s="16">
        <v>0.50060000000000004</v>
      </c>
      <c r="AB6" t="s">
        <v>17</v>
      </c>
      <c r="AC6">
        <f>SUM(AC7:AC18)</f>
        <v>881</v>
      </c>
      <c r="AH6" s="5">
        <v>4</v>
      </c>
      <c r="AI6" s="6">
        <v>0.72660000000000002</v>
      </c>
      <c r="AJ6" s="6">
        <v>0.73828000000000005</v>
      </c>
      <c r="AK6">
        <v>0.73819999999999997</v>
      </c>
      <c r="AT6">
        <v>0.2</v>
      </c>
      <c r="AU6">
        <v>1.4E-3</v>
      </c>
    </row>
    <row r="7" spans="1:66" ht="23.15" thickBot="1" x14ac:dyDescent="0.4">
      <c r="A7" s="3">
        <v>5</v>
      </c>
      <c r="B7" s="4">
        <v>0.60260000000000002</v>
      </c>
      <c r="C7" s="4">
        <v>0.68589999999999995</v>
      </c>
      <c r="F7" s="3">
        <v>5</v>
      </c>
      <c r="G7">
        <v>0</v>
      </c>
      <c r="M7" s="11">
        <v>5</v>
      </c>
      <c r="N7" s="15">
        <v>0.31919999999999998</v>
      </c>
      <c r="T7" s="11">
        <v>5</v>
      </c>
      <c r="U7" s="15">
        <v>0.31919999999999998</v>
      </c>
      <c r="AB7">
        <v>4</v>
      </c>
      <c r="AC7">
        <v>373</v>
      </c>
      <c r="AH7" s="3">
        <v>5</v>
      </c>
      <c r="AI7" s="4">
        <v>0.60260000000000002</v>
      </c>
      <c r="AJ7" s="4">
        <v>0.69230000000000003</v>
      </c>
      <c r="AK7">
        <v>0.73070000000000002</v>
      </c>
    </row>
    <row r="8" spans="1:66" ht="23.15" thickBot="1" x14ac:dyDescent="0.4">
      <c r="A8" s="5">
        <v>6</v>
      </c>
      <c r="B8" s="6">
        <v>0.7238</v>
      </c>
      <c r="C8" s="6">
        <v>0.64290000000000003</v>
      </c>
      <c r="F8" s="5">
        <v>6</v>
      </c>
      <c r="G8">
        <v>2</v>
      </c>
      <c r="M8" s="12">
        <v>6</v>
      </c>
      <c r="N8" s="16">
        <v>0.317</v>
      </c>
      <c r="T8" s="12">
        <v>6</v>
      </c>
      <c r="U8" s="16">
        <v>0.317</v>
      </c>
      <c r="AB8">
        <v>5</v>
      </c>
      <c r="AC8">
        <v>69</v>
      </c>
      <c r="AH8" s="5">
        <v>6</v>
      </c>
      <c r="AI8" s="6">
        <v>0.7238</v>
      </c>
      <c r="AJ8" s="6">
        <v>0.75238000000000005</v>
      </c>
      <c r="AK8">
        <v>0.7</v>
      </c>
    </row>
    <row r="9" spans="1:66" ht="23.15" thickBot="1" x14ac:dyDescent="0.4">
      <c r="A9" s="3">
        <v>7</v>
      </c>
      <c r="B9" s="4">
        <v>0.72650000000000003</v>
      </c>
      <c r="C9" s="4">
        <v>0.55069999999999997</v>
      </c>
      <c r="F9" s="3">
        <v>7</v>
      </c>
      <c r="G9">
        <v>2</v>
      </c>
      <c r="M9" s="11">
        <v>7</v>
      </c>
      <c r="N9" s="15">
        <v>0.19819999999999999</v>
      </c>
      <c r="T9" s="18">
        <v>7</v>
      </c>
      <c r="U9">
        <v>0.17</v>
      </c>
      <c r="AB9">
        <v>6</v>
      </c>
      <c r="AC9">
        <v>100</v>
      </c>
      <c r="AH9" s="3">
        <v>7</v>
      </c>
      <c r="AI9" s="4">
        <v>0.72650000000000003</v>
      </c>
      <c r="AJ9" s="4">
        <v>0.66015599999999997</v>
      </c>
      <c r="AK9">
        <v>0.67179999999999995</v>
      </c>
    </row>
    <row r="10" spans="1:66" ht="23.15" thickBot="1" x14ac:dyDescent="0.4">
      <c r="A10" s="5">
        <v>8</v>
      </c>
      <c r="B10" s="6">
        <v>0.52680000000000005</v>
      </c>
      <c r="C10" s="6">
        <v>0.64510000000000001</v>
      </c>
      <c r="F10" s="5">
        <v>8</v>
      </c>
      <c r="G10">
        <v>1</v>
      </c>
      <c r="M10" s="12">
        <v>8</v>
      </c>
      <c r="N10" s="16">
        <v>0.1119</v>
      </c>
      <c r="T10" s="11">
        <v>8</v>
      </c>
      <c r="U10" s="15">
        <v>0.19819999999999999</v>
      </c>
      <c r="AB10">
        <v>7</v>
      </c>
      <c r="AC10">
        <v>180</v>
      </c>
      <c r="AH10" s="5">
        <v>8</v>
      </c>
      <c r="AI10" s="6">
        <v>0.52680000000000005</v>
      </c>
      <c r="AJ10" s="6">
        <v>0.66659999999999997</v>
      </c>
      <c r="AK10">
        <v>0.66659999999999997</v>
      </c>
    </row>
    <row r="11" spans="1:66" ht="23.15" thickBot="1" x14ac:dyDescent="0.4">
      <c r="A11" s="3">
        <v>9</v>
      </c>
      <c r="B11" s="4">
        <v>0.62609999999999999</v>
      </c>
      <c r="C11" s="4">
        <v>0.64480000000000004</v>
      </c>
      <c r="F11" s="3">
        <v>9</v>
      </c>
      <c r="G11">
        <v>0</v>
      </c>
      <c r="M11" s="11">
        <v>9</v>
      </c>
      <c r="N11" s="15">
        <v>0.12859999999999999</v>
      </c>
      <c r="T11" s="12">
        <v>9</v>
      </c>
      <c r="U11" s="16">
        <v>0.1119</v>
      </c>
      <c r="AC11">
        <v>21</v>
      </c>
      <c r="AH11" s="3">
        <v>9</v>
      </c>
      <c r="AI11" s="4">
        <v>0.62609999999999999</v>
      </c>
      <c r="AJ11" s="4">
        <v>0.70093399999999995</v>
      </c>
      <c r="AK11">
        <v>0.65880000000000005</v>
      </c>
    </row>
    <row r="12" spans="1:66" ht="18.45" thickBot="1" x14ac:dyDescent="0.4">
      <c r="B12">
        <f>_xlfn.VAR.P(B2:B11)</f>
        <v>4.8217069000001085E-3</v>
      </c>
      <c r="C12">
        <f>_xlfn.VAR.P(C2:C11)</f>
        <v>2.8962480000000001E-3</v>
      </c>
      <c r="M12" s="13" t="s">
        <v>28</v>
      </c>
      <c r="N12" s="17">
        <v>0.68240000000000001</v>
      </c>
      <c r="T12" s="11">
        <v>10</v>
      </c>
      <c r="U12" s="15">
        <v>0.12859999999999999</v>
      </c>
      <c r="AC12">
        <v>30</v>
      </c>
      <c r="AI12">
        <f>_xlfn.STDEV.S(AI2:AI11)</f>
        <v>7.3194618047444385E-2</v>
      </c>
      <c r="AJ12">
        <f>_xlfn.STDEV.S(AJ2:AJ11)</f>
        <v>4.9094328199226177E-2</v>
      </c>
    </row>
    <row r="13" spans="1:66" ht="18.45" thickBot="1" x14ac:dyDescent="0.4">
      <c r="T13" s="12">
        <v>11</v>
      </c>
      <c r="U13" s="16">
        <v>8.6400000000000005E-2</v>
      </c>
      <c r="AC13">
        <v>33</v>
      </c>
    </row>
    <row r="14" spans="1:66" x14ac:dyDescent="0.35">
      <c r="T14">
        <v>12</v>
      </c>
      <c r="U14" s="19">
        <v>6.9000000000000006E-2</v>
      </c>
      <c r="AC14">
        <v>28</v>
      </c>
    </row>
    <row r="15" spans="1:66" x14ac:dyDescent="0.35">
      <c r="T15">
        <v>13</v>
      </c>
      <c r="U15" s="19">
        <v>4.7500000000000001E-2</v>
      </c>
      <c r="AC15">
        <v>14</v>
      </c>
    </row>
    <row r="16" spans="1:66" x14ac:dyDescent="0.35">
      <c r="T16">
        <v>14</v>
      </c>
      <c r="U16" s="19">
        <v>4.6800000000000001E-2</v>
      </c>
      <c r="AC16">
        <v>13</v>
      </c>
    </row>
    <row r="17" spans="20:29" x14ac:dyDescent="0.35">
      <c r="T17">
        <v>15</v>
      </c>
      <c r="U17" s="19">
        <v>2.4899999999999999E-2</v>
      </c>
      <c r="AC17">
        <v>12</v>
      </c>
    </row>
    <row r="18" spans="20:29" x14ac:dyDescent="0.35">
      <c r="AC18">
        <v>8</v>
      </c>
    </row>
    <row r="19" spans="20:29" x14ac:dyDescent="0.35">
      <c r="AC19">
        <f>SUM(AC11:AC18)</f>
        <v>159</v>
      </c>
    </row>
  </sheetData>
  <phoneticPr fontId="2" type="noConversion"/>
  <hyperlinks>
    <hyperlink ref="U1" r:id="rId1" xr:uid="{DCB6A3E4-D5D4-4769-B8BF-0E6D64677BDE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F37BE-395B-4217-AF1D-C94C74C841FE}">
  <dimension ref="A1:B4"/>
  <sheetViews>
    <sheetView tabSelected="1" workbookViewId="0">
      <selection activeCell="L7" sqref="L7"/>
    </sheetView>
  </sheetViews>
  <sheetFormatPr defaultRowHeight="14.15" x14ac:dyDescent="0.35"/>
  <sheetData>
    <row r="1" spans="1:2" x14ac:dyDescent="0.35">
      <c r="A1" t="s">
        <v>31</v>
      </c>
      <c r="B1" t="s">
        <v>32</v>
      </c>
    </row>
    <row r="2" spans="1:2" x14ac:dyDescent="0.35">
      <c r="A2" t="s">
        <v>33</v>
      </c>
      <c r="B2">
        <v>0.32</v>
      </c>
    </row>
    <row r="3" spans="1:2" x14ac:dyDescent="0.35">
      <c r="A3" t="s">
        <v>34</v>
      </c>
      <c r="B3">
        <v>0.44</v>
      </c>
    </row>
    <row r="4" spans="1:2" x14ac:dyDescent="0.35">
      <c r="A4" t="s">
        <v>35</v>
      </c>
      <c r="B4">
        <v>0.44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4.4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鉴 倪</dc:creator>
  <cp:lastModifiedBy>鉴 倪</cp:lastModifiedBy>
  <dcterms:created xsi:type="dcterms:W3CDTF">2025-05-06T03:48:50Z</dcterms:created>
  <dcterms:modified xsi:type="dcterms:W3CDTF">2026-03-02T01:19:47Z</dcterms:modified>
</cp:coreProperties>
</file>